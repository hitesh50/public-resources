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_rels/drawing1.xml.rels" ContentType="application/vnd.openxmlformats-package.relationship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" sheetId="1" state="visible" r:id="rId3"/>
    <sheet name="Assessment" sheetId="2" state="visible" r:id="rId4"/>
    <sheet name="Dashboard" sheetId="3" state="visible" r:id="rId5"/>
    <sheet name="Gap register" sheetId="4" state="visible" r:id="rId6"/>
    <sheet name="Reference" sheetId="5" state="visible" r:id="rId7"/>
  </sheets>
  <definedNames>
    <definedName function="false" hidden="false" localSheetId="1" name="_xlnm.Print_Titles" vbProcedure="false">Assessment!$4:$4</definedName>
    <definedName function="false" hidden="false" localSheetId="3" name="_xlnm.Print_Titles" vbProcedure="false">'Gap register'!$4:$4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4" authorId="0">
      <text>
        <r>
          <rPr>
            <sz val="10"/>
            <rFont val="Arial"/>
            <family val="2"/>
          </rPr>
          <t xml:space="preserve">Not applicable removes the question from both the points earned and the points available, so it does not depress the score.</t>
        </r>
      </text>
    </comment>
  </commentList>
</comments>
</file>

<file path=xl/sharedStrings.xml><?xml version="1.0" encoding="utf-8"?>
<sst xmlns="http://schemas.openxmlformats.org/spreadsheetml/2006/main" count="480" uniqueCount="367">
  <si>
    <t xml:space="preserve">MyOrg   ·   AI control self-assessment</t>
  </si>
  <si>
    <t xml:space="preserve">Enterprise Risk Management  ·  AI Risk Series  ·  Assess one AI use-case against the control expectations in ERM-ADV-AI-001 to 013</t>
  </si>
  <si>
    <t xml:space="preserve">STEP 1</t>
  </si>
  <si>
    <t xml:space="preserve">Use-case details</t>
  </si>
  <si>
    <t xml:space="preserve">Use-case name</t>
  </si>
  <si>
    <t xml:space="preserve">e.g. Client reporting drafting assistant</t>
  </si>
  <si>
    <t xml:space="preserve">Use-case owner</t>
  </si>
  <si>
    <t xml:space="preserve">Name and role</t>
  </si>
  <si>
    <t xml:space="preserve">Assessed risk tier</t>
  </si>
  <si>
    <t xml:space="preserve">Completed by</t>
  </si>
  <si>
    <t xml:space="preserve">Date of assessment</t>
  </si>
  <si>
    <t xml:space="preserve">STEP 2</t>
  </si>
  <si>
    <t xml:space="preserve">Scope</t>
  </si>
  <si>
    <t xml:space="preserve">These five answers decide which advisories apply. Where the answer is No, the related advisory is switched out of scope and excluded from every score.</t>
  </si>
  <si>
    <t xml:space="preserve">Scoping question</t>
  </si>
  <si>
    <t xml:space="preserve">Yes / No</t>
  </si>
  <si>
    <t xml:space="preserve">Gates</t>
  </si>
  <si>
    <t xml:space="preserve">What this covers</t>
  </si>
  <si>
    <t xml:space="preserve">Is any part of the AI capability supplied by, or embedded within, a third party?</t>
  </si>
  <si>
    <t xml:space="preserve">Yes</t>
  </si>
  <si>
    <t xml:space="preserve">ERM-ADV-AI-005</t>
  </si>
  <si>
    <t xml:space="preserve">Includes foundation models, AI applications, and AI features switched on inside software the firm already licenses.</t>
  </si>
  <si>
    <t xml:space="preserve">Does the AI system access firm systems, repositories, or data beyond what the user provides in the request?</t>
  </si>
  <si>
    <t xml:space="preserve">No</t>
  </si>
  <si>
    <t xml:space="preserve">ERM-ADV-AI-006</t>
  </si>
  <si>
    <t xml:space="preserve">Includes retrieval from document stores, database or API access, and mailbox or calendar access.</t>
  </si>
  <si>
    <t xml:space="preserve">Can the AI system take actions with effects outside itself, rather than only producing output for a person?</t>
  </si>
  <si>
    <t xml:space="preserve">ERM-ADV-AI-007</t>
  </si>
  <si>
    <t xml:space="preserve">Includes writing to systems, sending messages, calling tools, and triggering downstream processes.</t>
  </si>
  <si>
    <t xml:space="preserve">Does the AI system process content the firm does not control?</t>
  </si>
  <si>
    <t xml:space="preserve">ERM-ADV-AI-008</t>
  </si>
  <si>
    <t xml:space="preserve">Includes inbound email, uploaded documents from outside the firm, web pages, and third-party tool responses.</t>
  </si>
  <si>
    <t xml:space="preserve">Does the output reach clients, counterparties, candidates, or the public, or inform decisions about individuals?</t>
  </si>
  <si>
    <t xml:space="preserve">ERM-ADV-AI-013</t>
  </si>
  <si>
    <t xml:space="preserve">Also applies where the firm makes statements about this capability in marketing or due-diligence responses.</t>
  </si>
  <si>
    <t xml:space="preserve">HOW TO USE</t>
  </si>
  <si>
    <t xml:space="preserve">Legend and method</t>
  </si>
  <si>
    <t xml:space="preserve">Cells shaded pale blue are yours to complete.</t>
  </si>
  <si>
    <t xml:space="preserve">Everything else is a formula and is locked. To edit structure, use Review › Unprotect Sheet — no password is set.</t>
  </si>
  <si>
    <t xml:space="preserve">Work through the Assessment sheet.</t>
  </si>
  <si>
    <t xml:space="preserve">Choose one response per question from the dropdown in the Response column, then record how you know in the Evidence column.</t>
  </si>
  <si>
    <t xml:space="preserve">Scoring.</t>
  </si>
  <si>
    <t xml:space="preserve">In place = 2 points, Partially in place = 1, Not in place = 0. Not applicable is excluded from both the points earned and the points available.</t>
  </si>
  <si>
    <t xml:space="preserve">Overall score is question-weighted.</t>
  </si>
  <si>
    <t xml:space="preserve">Total points earned divided by total points available across all applicable questions — not an average of the thirteen advisory scores.</t>
  </si>
  <si>
    <t xml:space="preserve">Dashboard and Gap register update automatically.</t>
  </si>
  <si>
    <t xml:space="preserve">The Gap register lists every question answered Not in place or Partially in place, ready for owners and dates.</t>
  </si>
  <si>
    <t xml:space="preserve">Ratings.</t>
  </si>
  <si>
    <t xml:space="preserve">Not established below 40%, Developing 40–64%, Established 65–84%, Embedded 85% and above.</t>
  </si>
  <si>
    <t xml:space="preserve">EXAMPLE</t>
  </si>
  <si>
    <t xml:space="preserve">One completed row, for format</t>
  </si>
  <si>
    <t xml:space="preserve">Question</t>
  </si>
  <si>
    <t xml:space="preserve">Response</t>
  </si>
  <si>
    <t xml:space="preserve">Points</t>
  </si>
  <si>
    <t xml:space="preserve">Evidence / how you know</t>
  </si>
  <si>
    <t xml:space="preserve">001.4  Are reviews logged, and is control degradation monitored?</t>
  </si>
  <si>
    <t xml:space="preserve">Partially in place</t>
  </si>
  <si>
    <t xml:space="preserve">Reviewer and timestamp captured in the workflow tool; disposition is free text and not reportable. Rejection-rate trending not yet built. Owner: J. Patel, target 30 Sep.</t>
  </si>
  <si>
    <t xml:space="preserve">This workbook mirrors the HTML self-assessment (ERM-ADV-AI-SA-01). It is a first-line self-assessment producing a draft view of control maturity for one use-case — not a risk rating, a control effectiveness conclusion, or an approval. Second-line challenge and evidence testing sit outside it.</t>
  </si>
  <si>
    <t xml:space="preserve">VIEWS EXPRESSED ARE THE AUTHOR'S OWN AND DO NOT REPRESENT THOSE OF ANY EMPLOYER OR CLIENT. THIS IS A REFERENCE TEMPLATE, NOT FIRM POLICY, AND IS NOT INVESTMENT, LEGAL, OR COMPLIANCE ADVICE.</t>
  </si>
  <si>
    <t xml:space="preserve">MyOrg   ·   Assessment</t>
  </si>
  <si>
    <t xml:space="preserve">Choose one response per question. Pale blue cells are yours to complete; Points, and the Dashboard and Gap register sheets, calculate themselves.</t>
  </si>
  <si>
    <t xml:space="preserve">Ref</t>
  </si>
  <si>
    <t xml:space="preserve">ID</t>
  </si>
  <si>
    <t xml:space="preserve">What “In place” means</t>
  </si>
  <si>
    <t xml:space="preserve">Max</t>
  </si>
  <si>
    <t xml:space="preserve">Remediation owner</t>
  </si>
  <si>
    <t xml:space="preserve">Target date</t>
  </si>
  <si>
    <t xml:space="preserve">InScope</t>
  </si>
  <si>
    <t xml:space="preserve">GapRank</t>
  </si>
  <si>
    <t xml:space="preserve">ERM-ADV-AI-001   ·   Human in the loop   —   Whether human oversight cited as a control can actually achieve its objective.</t>
  </si>
  <si>
    <t xml:space="preserve">001</t>
  </si>
  <si>
    <t xml:space="preserve">001.1</t>
  </si>
  <si>
    <t xml:space="preserve">Is the reviewer a named role with the competence to judge the output independently?</t>
  </si>
  <si>
    <t xml:space="preserve">In place means the reviewing role is documented and could reasonably have produced or verified the work without the AI — not simply that someone signs off.</t>
  </si>
  <si>
    <t xml:space="preserve">001.2</t>
  </si>
  <si>
    <t xml:space="preserve">Can the reviewer realistically review, and does the workflow stop the output until they have?</t>
  </si>
  <si>
    <t xml:space="preserve">In place means volume and time per item are quantified and defensible, and the output cannot proceed on a timeout or be bypassed.</t>
  </si>
  <si>
    <t xml:space="preserve">001.3</t>
  </si>
  <si>
    <t xml:space="preserve">Are there documented review criteria and a defined escalation route?</t>
  </si>
  <si>
    <t xml:space="preserve">In place means the reviewer knows what wrong looks like for this use-case, and knows where to send what they cannot resolve.</t>
  </si>
  <si>
    <t xml:space="preserve">001.4</t>
  </si>
  <si>
    <t xml:space="preserve">Are reviews logged, and is control degradation monitored?</t>
  </si>
  <si>
    <t xml:space="preserve">In place means reviewer, timestamp and disposition are recorded and testable, and indicators such as rejection rates trending to zero are actively watched.</t>
  </si>
  <si>
    <t xml:space="preserve">ERM-ADV-AI-002   ·   Intake and risk tiering   —   Whether the use-case is registered, tiered, and owned before it is relied upon.</t>
  </si>
  <si>
    <t xml:space="preserve">002</t>
  </si>
  <si>
    <t xml:space="preserve">002.1</t>
  </si>
  <si>
    <t xml:space="preserve">Is there a named use-case owner and accountable executive, with the affected process documented?</t>
  </si>
  <si>
    <t xml:space="preserve">In place means both are recorded in the inventory and the submission states what depends on the output being right.</t>
  </si>
  <si>
    <t xml:space="preserve">002.2</t>
  </si>
  <si>
    <t xml:space="preserve">Are the data classifications of inputs and outputs recorded?</t>
  </si>
  <si>
    <t xml:space="preserve">In place means classifications are stated explicitly, including anything personal, client-identifying, or confidential.</t>
  </si>
  <si>
    <t xml:space="preserve">002.3</t>
  </si>
  <si>
    <t xml:space="preserve">Has a risk tier been assigned against published criteria, with proportionate controls mapped?</t>
  </si>
  <si>
    <t xml:space="preserve">In place means the tier, the rationale, and the required control set are documented — and deviations explained.</t>
  </si>
  <si>
    <t xml:space="preserve">002.4</t>
  </si>
  <si>
    <t xml:space="preserve">Was approval recorded before production use, and is the inventory entry re-attested?</t>
  </si>
  <si>
    <t xml:space="preserve">In place means dated approval precedes live use, and there is a re-attestation frequency and a decommissioning route.</t>
  </si>
  <si>
    <t xml:space="preserve">ERM-ADV-AI-003   ·   Data and input controls   —   Whether what is submitted to the AI system is controlled, minimised and traceable.</t>
  </si>
  <si>
    <t xml:space="preserve">003</t>
  </si>
  <si>
    <t xml:space="preserve">003.1</t>
  </si>
  <si>
    <t xml:space="preserve">Is the tool on the approved list for the data classifications this use-case handles?</t>
  </si>
  <si>
    <t xml:space="preserve">In place means an approval record exists that names the permitted classifications, not just the tool.</t>
  </si>
  <si>
    <t xml:space="preserve">003.2</t>
  </si>
  <si>
    <t xml:space="preserve">Are retention, model-training and sub-processing terms confirmed in writing?</t>
  </si>
  <si>
    <t xml:space="preserve">In place means the firm has evidence of whether inputs are retained, used for training, or shared — not an inference from marketing material.</t>
  </si>
  <si>
    <t xml:space="preserve">003.3</t>
  </si>
  <si>
    <t xml:space="preserve">Is at least one technical control enforcing this, alongside data minimisation?</t>
  </si>
  <si>
    <t xml:space="preserve">In place means tenancy isolation, egress or data-loss-prevention rules, or disabled provider-side training — plus removal or masking of data the outcome does not need.</t>
  </si>
  <si>
    <t xml:space="preserve">003.4</t>
  </si>
  <si>
    <t xml:space="preserve">Does retrieval respect source-system entitlements, and have cross-border flows been assessed?</t>
  </si>
  <si>
    <t xml:space="preserve">In place means the system reads with the requesting user's permissions, source repositories were reviewed for over-sharing, and processing locations are documented.</t>
  </si>
  <si>
    <t xml:space="preserve">003.5</t>
  </si>
  <si>
    <t xml:space="preserve">Can the firm establish what was submitted, without the log becoming an unprotected store?</t>
  </si>
  <si>
    <t xml:space="preserve">In place means input traceability exists proportionate to tier, and the log store is itself classified, access-controlled and retention-bound.</t>
  </si>
  <si>
    <t xml:space="preserve">ERM-ADV-AI-004   ·   Output reliability   —   Whether the correctness of AI output is defined, evidenced and monitored.</t>
  </si>
  <si>
    <t xml:space="preserve">004</t>
  </si>
  <si>
    <t xml:space="preserve">004.1</t>
  </si>
  <si>
    <t xml:space="preserve">Is there a defined accuracy standard and error tolerance for this use-case?</t>
  </si>
  <si>
    <t xml:space="preserve">In place means the submission states what correct output looks like and which categories of error matter most.</t>
  </si>
  <si>
    <t xml:space="preserve">004.2</t>
  </si>
  <si>
    <t xml:space="preserve">Is factual output grounded in governed sources with attribution a reviewer can follow?</t>
  </si>
  <si>
    <t xml:space="preserve">In place means retrieval from identified, current sources with citations that resolve — not instruction to the model not to invent content.</t>
  </si>
  <si>
    <t xml:space="preserve">004.3</t>
  </si>
  <si>
    <t xml:space="preserve">Was the system evaluated against a retained test set before production, to a pre-set threshold?</t>
  </si>
  <si>
    <t xml:space="preserve">In place means documented results against representative and edge cases, with the pass threshold defined in advance.</t>
  </si>
  <si>
    <t xml:space="preserve">004.4</t>
  </si>
  <si>
    <t xml:space="preserve">Are there automated guardrails and ongoing quality sampling in production?</t>
  </si>
  <si>
    <t xml:space="preserve">In place means scope, format or reconciliation checks in the system, plus a defined sample checked by someone competent to judge it, with results trended.</t>
  </si>
  <si>
    <t xml:space="preserve">004.5</t>
  </si>
  <si>
    <t xml:space="preserve">Are known limitations communicated to users, and is the system re-evaluated on change?</t>
  </si>
  <si>
    <t xml:space="preserve">In place means users know what it is unreliable for, and evaluation repeats when the model, prompt, sources or scope change.</t>
  </si>
  <si>
    <t xml:space="preserve">005</t>
  </si>
  <si>
    <t xml:space="preserve">005.1</t>
  </si>
  <si>
    <t xml:space="preserve">Is the supplier AI capability identified and registered, including features enabled by default?</t>
  </si>
  <si>
    <t xml:space="preserve">In place means suppliers have been asked directly where their products use AI, and the answer is reflected in the inventory.</t>
  </si>
  <si>
    <t xml:space="preserve">005.2</t>
  </si>
  <si>
    <t xml:space="preserve">Are model provenance, processing locations and sub-processors known, with security and privacy assessments complete?</t>
  </si>
  <si>
    <t xml:space="preserve">In place means the firm knows what sits behind the feature, or has explicitly accepted not knowing at a documented tier.</t>
  </si>
  <si>
    <t xml:space="preserve">005.3</t>
  </si>
  <si>
    <t xml:space="preserve">Do contract terms cover training use, deletion, security, incident notification, IP indemnity and audit rights?</t>
  </si>
  <si>
    <t xml:space="preserve">In place means the protections exist in the agreement, or a deviation has been accepted and recorded.</t>
  </si>
  <si>
    <t xml:space="preserve">005.4</t>
  </si>
  <si>
    <t xml:space="preserve">Does the firm hold its own evidence that the capability performs adequately for this use?</t>
  </si>
  <si>
    <t xml:space="preserve">In place means evaluation, pilot results or reference testing — not reliance on supplier claims alone.</t>
  </si>
  <si>
    <t xml:space="preserve">005.5</t>
  </si>
  <si>
    <t xml:space="preserve">Are change notification rights in place, and is there a credible fallback if the capability is withdrawn?</t>
  </si>
  <si>
    <t xml:space="preserve">In place means a named owner receives change notices within a defined window, and the fallback has been confirmed as viable rather than asserted.</t>
  </si>
  <si>
    <t xml:space="preserve">006</t>
  </si>
  <si>
    <t xml:space="preserve">006.1</t>
  </si>
  <si>
    <t xml:space="preserve">Does the AI operate under a distinct non-human identity with a named human owner?</t>
  </si>
  <si>
    <t xml:space="preserve">In place means it is distinguishable in logs from human users and other agents, and is not a shared service account.</t>
  </si>
  <si>
    <t xml:space="preserve">006.2</t>
  </si>
  <si>
    <t xml:space="preserve">Are entitlements least-privilege, justified against the use-case, and bounded when acting for a user?</t>
  </si>
  <si>
    <t xml:space="preserve">In place means every entitlement traces to a use-case requirement, and the system cannot reach what the requesting user could not reach.</t>
  </si>
  <si>
    <t xml:space="preserve">006.3</t>
  </si>
  <si>
    <t xml:space="preserve">Are credentials held in an approved vault, scoped and rotated?</t>
  </si>
  <si>
    <t xml:space="preserve">In place means no secrets in prompts, configuration files, code repositories or logs.</t>
  </si>
  <si>
    <t xml:space="preserve">006.4</t>
  </si>
  <si>
    <t xml:space="preserve">Are entitlements recertified, and has revocation been tested?</t>
  </si>
  <si>
    <t xml:space="preserve">In place means review at least as often as comparable human privileged access, and a tested method to disable the identity and stop in-flight activity.</t>
  </si>
  <si>
    <t xml:space="preserve">007</t>
  </si>
  <si>
    <t xml:space="preserve">007.1</t>
  </si>
  <si>
    <t xml:space="preserve">Are permitted actions and tools an enumerated allow-list, with everything else denied?</t>
  </si>
  <si>
    <t xml:space="preserve">In place means adding a tool is a change requiring assessment, not a configuration convenience.</t>
  </si>
  <si>
    <t xml:space="preserve">007.2</t>
  </si>
  <si>
    <t xml:space="preserve">Do material or irreversible actions require explicit human authorisation, within enforced quantitative limits?</t>
  </si>
  <si>
    <t xml:space="preserve">In place means authorisation cannot be satisfied by a timeout, and value, volume, rate and time-window limits halt rather than log on breach.</t>
  </si>
  <si>
    <t xml:space="preserve">007.3</t>
  </si>
  <si>
    <t xml:space="preserve">Are the boundaries enforced outside the model, rather than by instruction?</t>
  </si>
  <si>
    <t xml:space="preserve">In place means permissions, gateways, policy enforcement or validation layers refuse the action — the prompt is not the control.</t>
  </si>
  <si>
    <t xml:space="preserve">007.4</t>
  </si>
  <si>
    <t xml:space="preserve">Is there a tested stop mechanism and a defined safe state?</t>
  </si>
  <si>
    <t xml:space="preserve">In place means a documented runbook, named responders, and confirmation by test that stopping actually stops it.</t>
  </si>
  <si>
    <t xml:space="preserve">007.5</t>
  </si>
  <si>
    <t xml:space="preserve">Are all actions logged and correlated, with adversarial testing and staged rollout before scale?</t>
  </si>
  <si>
    <t xml:space="preserve">In place means the identity, triggering request, parameters and result are reconstructable, and failure scenarios were tested before production.</t>
  </si>
  <si>
    <t xml:space="preserve">008</t>
  </si>
  <si>
    <t xml:space="preserve">008.1</t>
  </si>
  <si>
    <t xml:space="preserve">Are all content sources enumerated and classified as trusted or untrusted?</t>
  </si>
  <si>
    <t xml:space="preserve">In place means uploads, retrieved documents, inbound messages, web content and tool responses have each been considered.</t>
  </si>
  <si>
    <t xml:space="preserve">008.2</t>
  </si>
  <si>
    <t xml:space="preserve">Is untrusted content held separately from system instructions?</t>
  </si>
  <si>
    <t xml:space="preserve">In place means the architecture does not place processed content where it is interpreted as operator instruction, or compensates where the platform cannot guarantee this.</t>
  </si>
  <si>
    <t xml:space="preserve">008.3</t>
  </si>
  <si>
    <t xml:space="preserve">Are entitlements minimised and outbound destinations restricted, specifically to contain injection?</t>
  </si>
  <si>
    <t xml:space="preserve">In place means unrestricted outbound capability is not combined with sensitive data access, and destinations are on an approved list.</t>
  </si>
  <si>
    <t xml:space="preserve">008.4</t>
  </si>
  <si>
    <t xml:space="preserve">Do side-effectful actions derived from that content require human confirmation, with output validated downstream?</t>
  </si>
  <si>
    <t xml:space="preserve">In place means the confirmation shows the actual action, and output is encoded before other systems consume it.</t>
  </si>
  <si>
    <t xml:space="preserve">008.5</t>
  </si>
  <si>
    <t xml:space="preserve">Has the workflow been tested adversarially, with findings closed?</t>
  </si>
  <si>
    <t xml:space="preserve">In place means injection scenarios relevant to its inputs were tested before deployment and after material change.</t>
  </si>
  <si>
    <t xml:space="preserve">ERM-ADV-AI-009   ·   Logging and records   —   Whether AI-assisted activity can be reconstructed and retained as required.</t>
  </si>
  <si>
    <t xml:space="preserve">009</t>
  </si>
  <si>
    <t xml:space="preserve">009.1</t>
  </si>
  <si>
    <t xml:space="preserve">Is a defined log set implemented, covering request, output, model version, sources, actor and disposition?</t>
  </si>
  <si>
    <t xml:space="preserve">In place means the log set was specified to answer questions the firm expects to be asked — not whatever the platform emits by default.</t>
  </si>
  <si>
    <t xml:space="preserve">009.2</t>
  </si>
  <si>
    <t xml:space="preserve">Are logs integrity-protected and access-controlled?</t>
  </si>
  <si>
    <t xml:space="preserve">In place means protection proportionate to tier, and restricted access recognising that logs may contain confidential or personal content.</t>
  </si>
  <si>
    <t xml:space="preserve">009.3</t>
  </si>
  <si>
    <t xml:space="preserve">Is retention aligned to records requirements, with legal hold operable?</t>
  </si>
  <si>
    <t xml:space="preserve">In place means periods agreed with Records Management, Compliance and Legal — and hold and export confirmed where a supplier holds the log.</t>
  </si>
  <si>
    <t xml:space="preserve">009.4</t>
  </si>
  <si>
    <t xml:space="preserve">Is there end-to-end traceability, and are records and supervision obligations covered?</t>
  </si>
  <si>
    <t xml:space="preserve">In place means an output traces to its inputs, sources and decisions, and client-facing output sits within existing supervision arrangements.</t>
  </si>
  <si>
    <t xml:space="preserve">009.5</t>
  </si>
  <si>
    <t xml:space="preserve">Is completeness periodically tested by reconstructing a past interaction?</t>
  </si>
  <si>
    <t xml:space="preserve">In place means reconstruction has actually been attempted and evidenced, not assumed from the presence of a log.</t>
  </si>
  <si>
    <t xml:space="preserve">ERM-ADV-AI-010   ·   Change control   —   Whether changes to models, prompts and configuration are assessed before they take effect.</t>
  </si>
  <si>
    <t xml:space="preserve">010</t>
  </si>
  <si>
    <t xml:space="preserve">010.1</t>
  </si>
  <si>
    <t xml:space="preserve">Are prompts, instructions and configuration under version control with recorded approval?</t>
  </si>
  <si>
    <t xml:space="preserve">In place means authorship, review and approval are recorded, change categories are defined, and a prior state can be restored.</t>
  </si>
  <si>
    <t xml:space="preserve">010.2</t>
  </si>
  <si>
    <t xml:space="preserve">Is regression testing performed against a retained baseline before a change goes live?</t>
  </si>
  <si>
    <t xml:space="preserve">In place means results are compared to the previous baseline, and that baseline still exists.</t>
  </si>
  <si>
    <t xml:space="preserve">010.3</t>
  </si>
  <si>
    <t xml:space="preserve">Do supplier change notifications reach a named owner within a defined response window?</t>
  </si>
  <si>
    <t xml:space="preserve">In place means notification obligations exist and deprecation timelines are tracked.</t>
  </si>
  <si>
    <t xml:space="preserve">010.4</t>
  </si>
  <si>
    <t xml:space="preserve">Is the model version pinned or staged, or is its absence compensated by monitoring?</t>
  </si>
  <si>
    <t xml:space="preserve">In place means the firm uses version control where the provider offers it, and has recorded and compensated for it where it does not.</t>
  </si>
  <si>
    <t xml:space="preserve">010.5</t>
  </si>
  <si>
    <t xml:space="preserve">Is there post-change monitoring with a rollback trigger, and are change records linked to the use-case?</t>
  </si>
  <si>
    <t xml:space="preserve">In place means a defined stabilisation period, a workable rollback route, and change history retrievable against the inventory entry.</t>
  </si>
  <si>
    <t xml:space="preserve">ERM-ADV-AI-011   ·   Monitoring and effectiveness   —   Whether continued control effectiveness is evidenced rather than assumed.</t>
  </si>
  <si>
    <t xml:space="preserve">011</t>
  </si>
  <si>
    <t xml:space="preserve">011.1</t>
  </si>
  <si>
    <t xml:space="preserve">Are there defined indicators with thresholds, owners and a specified response?</t>
  </si>
  <si>
    <t xml:space="preserve">In place means a small set of meaningful measures — quality, exception and override rates, volume, incidents — each with an action on breach.</t>
  </si>
  <si>
    <t xml:space="preserve">011.2</t>
  </si>
  <si>
    <t xml:space="preserve">Is a proportion of live output independently sampled and trended?</t>
  </si>
  <si>
    <t xml:space="preserve">In place means assessment by someone other than the person who produced or approved the output.</t>
  </si>
  <si>
    <t xml:space="preserve">011.3</t>
  </si>
  <si>
    <t xml:space="preserve">Is there an error and incident route, with read-across and linkage to complaints?</t>
  </si>
  <si>
    <t xml:space="preserve">In place means AI-related errors reach the firm's incident process and lessons are applied to comparable use-cases.</t>
  </si>
  <si>
    <t xml:space="preserve">011.4</t>
  </si>
  <si>
    <t xml:space="preserve">Is actual usage compared to the approved design, with a trigger on divergence?</t>
  </si>
  <si>
    <t xml:space="preserve">In place means volume, user population, task types and data classifications are monitored against the approved parameters.</t>
  </si>
  <si>
    <t xml:space="preserve">011.5</t>
  </si>
  <si>
    <t xml:space="preserve">Is the use-case re-attested periodically and reported into governance with escalation triggers?</t>
  </si>
  <si>
    <t xml:space="preserve">In place means evidence-based re-attestation and pre-agreed triggers — including a trigger to suspend the use-case.</t>
  </si>
  <si>
    <t xml:space="preserve">ERM-ADV-AI-012   ·   Acceptable use and competency   —   Whether the people relying on the AI know the rules and can judge the output.</t>
  </si>
  <si>
    <t xml:space="preserve">012</t>
  </si>
  <si>
    <t xml:space="preserve">012.1</t>
  </si>
  <si>
    <t xml:space="preserve">Is a current acceptable-use standard published and accessible to users of this use-case?</t>
  </si>
  <si>
    <t xml:space="preserve">In place means it names permitted tools, permitted data classifications and prohibited uses, specifically enough to apply in the moment.</t>
  </si>
  <si>
    <t xml:space="preserve">012.2</t>
  </si>
  <si>
    <t xml:space="preserve">Is role-appropriate training assigned and completion tracked?</t>
  </si>
  <si>
    <t xml:space="preserve">In place means training is differentiated for higher-risk populations, and non-completion is escalated through the normal route.</t>
  </si>
  <si>
    <t xml:space="preserve">012.3</t>
  </si>
  <si>
    <t xml:space="preserve">Where a person is the control, is their competency for this specific use-case recorded?</t>
  </si>
  <si>
    <t xml:space="preserve">In place means competency is established and evidenced — not inferred from job title or general awareness training.</t>
  </si>
  <si>
    <t xml:space="preserve">012.4</t>
  </si>
  <si>
    <t xml:space="preserve">Are practical limitations communicated, with a visible route to ask and to report?</t>
  </si>
  <si>
    <t xml:space="preserve">In place means users know the observed failure modes, and can raise questions or self-report errors without penalty.</t>
  </si>
  <si>
    <t xml:space="preserve">012.5</t>
  </si>
  <si>
    <t xml:space="preserve">Is attestation obtained for higher-tier use, and is guidance refreshed when capability changes?</t>
  </si>
  <si>
    <t xml:space="preserve">In place means refresh is triggered by change rather than waiting for the annual cycle.</t>
  </si>
  <si>
    <t xml:space="preserve">013</t>
  </si>
  <si>
    <t xml:space="preserve">013.1</t>
  </si>
  <si>
    <t xml:space="preserve">Is there a recorded determination of whether disclosure is required, with Legal or Compliance input?</t>
  </si>
  <si>
    <t xml:space="preserve">In place means the determination and its rationale are documented against the use-case — whichever way it went.</t>
  </si>
  <si>
    <t xml:space="preserve">013.2</t>
  </si>
  <si>
    <t xml:space="preserve">Is disclosure wording reviewed through the normal route, with interaction disclosure where applicable?</t>
  </si>
  <si>
    <t xml:space="preserve">In place means wording is not drafted ad hoc, and anyone who might believe they are dealing with a human is told otherwise and offered a route to a person.</t>
  </si>
  <si>
    <t xml:space="preserve">013.3</t>
  </si>
  <si>
    <t xml:space="preserve">Are external claims about this capability checked against the inventory before release?</t>
  </si>
  <si>
    <t xml:space="preserve">In place means marketing, RFP and due-diligence statements are substantiated and reconcilable across channels.</t>
  </si>
  <si>
    <t xml:space="preserve">013.4</t>
  </si>
  <si>
    <t xml:space="preserve">Where AI affects employees or candidates, have transparency obligations been addressed?</t>
  </si>
  <si>
    <t xml:space="preserve">In place means Human Resources, Privacy and Legal have been involved.</t>
  </si>
  <si>
    <t xml:space="preserve">013.5</t>
  </si>
  <si>
    <t xml:space="preserve">Is there a record of disclosures made, and a review trigger on change?</t>
  </si>
  <si>
    <t xml:space="preserve">In place means the firm can evidence what was disclosed, to whom and when, and revisits the position when capability or jurisdiction changes.</t>
  </si>
  <si>
    <t xml:space="preserve">MyOrg   ·   Dashboard</t>
  </si>
  <si>
    <t xml:space="preserve">Use-case</t>
  </si>
  <si>
    <t xml:space="preserve">OVERALL SCORE</t>
  </si>
  <si>
    <t xml:space="preserve">RATING</t>
  </si>
  <si>
    <t xml:space="preserve">Owner</t>
  </si>
  <si>
    <t xml:space="preserve">Tier</t>
  </si>
  <si>
    <t xml:space="preserve">GAPS OPEN</t>
  </si>
  <si>
    <t xml:space="preserve">PROGRESS</t>
  </si>
  <si>
    <t xml:space="preserve">Control area</t>
  </si>
  <si>
    <t xml:space="preserve">In scope</t>
  </si>
  <si>
    <t xml:space="preserve">Answered</t>
  </si>
  <si>
    <t xml:space="preserve">Questions</t>
  </si>
  <si>
    <t xml:space="preserve">Available</t>
  </si>
  <si>
    <t xml:space="preserve">Score</t>
  </si>
  <si>
    <t xml:space="preserve">Rating</t>
  </si>
  <si>
    <t xml:space="preserve">Human in the loop</t>
  </si>
  <si>
    <t xml:space="preserve">Intake and risk tiering</t>
  </si>
  <si>
    <t xml:space="preserve">Data and input controls</t>
  </si>
  <si>
    <t xml:space="preserve">Output reliability</t>
  </si>
  <si>
    <t xml:space="preserve">Third-party and embedded AI</t>
  </si>
  <si>
    <t xml:space="preserve">Agent identity and access</t>
  </si>
  <si>
    <t xml:space="preserve">Autonomy and action boundaries</t>
  </si>
  <si>
    <t xml:space="preserve">Prompt injection and untrusted content</t>
  </si>
  <si>
    <t xml:space="preserve">Logging and records</t>
  </si>
  <si>
    <t xml:space="preserve">Change control</t>
  </si>
  <si>
    <t xml:space="preserve">Monitoring and effectiveness</t>
  </si>
  <si>
    <t xml:space="preserve">Acceptable use and competency</t>
  </si>
  <si>
    <t xml:space="preserve">Disclosure and transparency</t>
  </si>
  <si>
    <t xml:space="preserve">All applicable control areas</t>
  </si>
  <si>
    <t xml:space="preserve">Source: responses recorded on the Assessment sheet. Overall score is question-weighted — total points earned divided by total points available across all applicable questions.</t>
  </si>
  <si>
    <t xml:space="preserve">MyOrg   ·   Gap register</t>
  </si>
  <si>
    <t xml:space="preserve">Every applicable question answered Not in place or Partially in place, in advisory order. This sheet is generated — edit the Assessment sheet, not this one.</t>
  </si>
  <si>
    <t xml:space="preserve">idx</t>
  </si>
  <si>
    <t xml:space="preserve">MyOrg   ·   Reference</t>
  </si>
  <si>
    <t xml:space="preserve">SCORING</t>
  </si>
  <si>
    <t xml:space="preserve">Response scale</t>
  </si>
  <si>
    <t xml:space="preserve">Meaning</t>
  </si>
  <si>
    <t xml:space="preserve">In place</t>
  </si>
  <si>
    <t xml:space="preserve">2</t>
  </si>
  <si>
    <t xml:space="preserve">The control operates as described and you could evidence it to a reviewer today.</t>
  </si>
  <si>
    <t xml:space="preserve">1</t>
  </si>
  <si>
    <t xml:space="preserve">Some elements operate, or the control operates without evidence, or it covers only part of the use-case.</t>
  </si>
  <si>
    <t xml:space="preserve">Not in place</t>
  </si>
  <si>
    <t xml:space="preserve">0</t>
  </si>
  <si>
    <t xml:space="preserve">The control does not operate, or has not been designed.</t>
  </si>
  <si>
    <t xml:space="preserve">Not applicable</t>
  </si>
  <si>
    <t xml:space="preserve">excluded</t>
  </si>
  <si>
    <t xml:space="preserve">The question does not arise for this use-case. Removed from points earned and points available, so it does not depress the score.</t>
  </si>
  <si>
    <t xml:space="preserve">Maturity bands</t>
  </si>
  <si>
    <t xml:space="preserve">Band</t>
  </si>
  <si>
    <t xml:space="preserve">Reading</t>
  </si>
  <si>
    <t xml:space="preserve">Not established</t>
  </si>
  <si>
    <t xml:space="preserve">below 40%</t>
  </si>
  <si>
    <t xml:space="preserve">Controls are largely absent. The use-case should not be relied upon in its current form.</t>
  </si>
  <si>
    <t xml:space="preserve">Developing</t>
  </si>
  <si>
    <t xml:space="preserve">40–64%</t>
  </si>
  <si>
    <t xml:space="preserve">Controls exist in parts. Material gaps remain and should carry owners and dates.</t>
  </si>
  <si>
    <t xml:space="preserve">Established</t>
  </si>
  <si>
    <t xml:space="preserve">65–84%</t>
  </si>
  <si>
    <t xml:space="preserve">Controls are designed and operating, with specific gaps to close.</t>
  </si>
  <si>
    <t xml:space="preserve">Embedded</t>
  </si>
  <si>
    <t xml:space="preserve">85% and above</t>
  </si>
  <si>
    <t xml:space="preserve">Controls are designed, operating, and evidenced. Sustaining them is the remaining task.</t>
  </si>
  <si>
    <t xml:space="preserve">SERIES</t>
  </si>
  <si>
    <t xml:space="preserve">The thirteen advisories</t>
  </si>
  <si>
    <t xml:space="preserve">Reference</t>
  </si>
  <si>
    <t xml:space="preserve">What it covers</t>
  </si>
  <si>
    <t xml:space="preserve">ERM-ADV-AI-001</t>
  </si>
  <si>
    <t xml:space="preserve">Whether human oversight cited as a control can actually achieve its objective.</t>
  </si>
  <si>
    <t xml:space="preserve">ERM-ADV-AI-002</t>
  </si>
  <si>
    <t xml:space="preserve">Whether the use-case is registered, tiered, and owned before it is relied upon.</t>
  </si>
  <si>
    <t xml:space="preserve">ERM-ADV-AI-003</t>
  </si>
  <si>
    <t xml:space="preserve">Whether what is submitted to the AI system is controlled, minimised and traceable.</t>
  </si>
  <si>
    <t xml:space="preserve">ERM-ADV-AI-004</t>
  </si>
  <si>
    <t xml:space="preserve">Whether the correctness of AI output is defined, evidenced and monitored.</t>
  </si>
  <si>
    <t xml:space="preserve">Whether supplied AI capability is diligenced, contracted for, and survivable if withdrawn.</t>
  </si>
  <si>
    <t xml:space="preserve">Whether AI access to firm systems is attributable, least-privilege and revocable.</t>
  </si>
  <si>
    <t xml:space="preserve">Whether what the AI may do is defined in advance and enforced by the system.</t>
  </si>
  <si>
    <t xml:space="preserve">Whether content the firm does not control can influence what the AI does.</t>
  </si>
  <si>
    <t xml:space="preserve">ERM-ADV-AI-009</t>
  </si>
  <si>
    <t xml:space="preserve">Whether AI-assisted activity can be reconstructed and retained as required.</t>
  </si>
  <si>
    <t xml:space="preserve">ERM-ADV-AI-010</t>
  </si>
  <si>
    <t xml:space="preserve">Whether changes to models, prompts and configuration are assessed before they take effect.</t>
  </si>
  <si>
    <t xml:space="preserve">ERM-ADV-AI-011</t>
  </si>
  <si>
    <t xml:space="preserve">Whether continued control effectiveness is evidenced rather than assumed.</t>
  </si>
  <si>
    <t xml:space="preserve">ERM-ADV-AI-012</t>
  </si>
  <si>
    <t xml:space="preserve">Whether the people relying on the AI know the rules and can judge the output.</t>
  </si>
  <si>
    <t xml:space="preserve">Whether AI involvement is disclosed where required, and claims about it are substantiated.</t>
  </si>
  <si>
    <t xml:space="preserve">Control areas shown in dark blue apply only where the Step 2 scoping answer is Yes.</t>
  </si>
  <si>
    <t xml:space="preserve">Provenance and limits
Questions and expectations are taken from the HTML self-assessment (ERM-ADV-AI-SA-01), which in turn derives from the minimum standards in ERM-ADV-AI-001 to 013. The maturity bands are a construction for this tool and do not map to any external maturity scale — replace them with your own framework's bands before real use.
No external regulation, standard, or framework is cited anywhere in this workbook. A high score records what the owner asserted, not what a reviewer tested.
This is a de-branded template. “MyOrg” is a placeholder standing in for the organisation name, and the wordmark in each sheet header is a placeholder that needs a real name or a designed mark before this is used publicly.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</si>
</sst>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\-mmm\-yyyy"/>
    <numFmt numFmtId="166" formatCode="@"/>
    <numFmt numFmtId="167" formatCode="0;;\–"/>
    <numFmt numFmtId="168" formatCode="General"/>
    <numFmt numFmtId="169" formatCode="0%;;\–"/>
    <numFmt numFmtId="170" formatCode="0%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Georgia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8"/>
      <color rgb="FF800020"/>
      <name val="Arial"/>
      <family val="0"/>
      <charset val="1"/>
    </font>
    <font>
      <b val="true"/>
      <sz val="13"/>
      <color rgb="FF000000"/>
      <name val="Georgia"/>
      <family val="0"/>
      <charset val="1"/>
    </font>
    <font>
      <b val="true"/>
      <sz val="10"/>
      <name val="Arial"/>
      <family val="0"/>
      <charset val="1"/>
    </font>
    <font>
      <sz val="10"/>
      <color rgb="FF5C1A2B"/>
      <name val="Arial"/>
      <family val="0"/>
      <charset val="1"/>
    </font>
    <font>
      <sz val="9"/>
      <color rgb="FF47474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5C1A2B"/>
      <name val="Arial"/>
      <family val="0"/>
      <charset val="1"/>
    </font>
    <font>
      <b val="true"/>
      <sz val="9"/>
      <color rgb="FF474747"/>
      <name val="Arial"/>
      <family val="0"/>
      <charset val="1"/>
    </font>
    <font>
      <b val="true"/>
      <sz val="10"/>
      <color rgb="FFF96706"/>
      <name val="Arial"/>
      <family val="0"/>
      <charset val="1"/>
    </font>
    <font>
      <b val="true"/>
      <sz val="8"/>
      <color rgb="FFFFFFFF"/>
      <name val="Arial"/>
      <family val="0"/>
      <charset val="1"/>
    </font>
    <font>
      <sz val="9"/>
      <color rgb="FF5C1A2B"/>
      <name val="Arial"/>
      <family val="0"/>
      <charset val="1"/>
    </font>
    <font>
      <sz val="10"/>
      <name val="Arial"/>
      <family val="2"/>
    </font>
    <font>
      <b val="true"/>
      <sz val="36"/>
      <color rgb="FF800020"/>
      <name val="Georgia"/>
      <family val="0"/>
      <charset val="1"/>
    </font>
    <font>
      <b val="true"/>
      <sz val="12"/>
      <color rgb="FFFFFFFF"/>
      <name val="Georgia"/>
      <family val="0"/>
      <charset val="1"/>
    </font>
    <font>
      <b val="true"/>
      <sz val="12"/>
      <color rgb="FFE4251B"/>
      <name val="Arial"/>
      <family val="0"/>
      <charset val="1"/>
    </font>
    <font>
      <b val="true"/>
      <sz val="9"/>
      <color rgb="FF5C1A2B"/>
      <name val="Arial"/>
      <family val="0"/>
      <charset val="1"/>
    </font>
    <font>
      <sz val="8"/>
      <color rgb="FF949494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4A0E1F"/>
        <bgColor rgb="FF5C1A2B"/>
      </patternFill>
    </fill>
    <fill>
      <patternFill patternType="solid">
        <fgColor rgb="FF800020"/>
        <bgColor rgb="FF800000"/>
      </patternFill>
    </fill>
    <fill>
      <patternFill patternType="solid">
        <fgColor rgb="FFF7E3E0"/>
        <bgColor rgb="FFE6E6E6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 style="medium">
        <color rgb="FF800020"/>
      </top>
      <bottom/>
      <diagonal/>
    </border>
    <border diagonalUp="false" diagonalDown="false"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2" xfId="0" applyFont="true" applyBorder="true" applyAlignment="true" applyProtection="true">
      <alignment horizontal="general" vertical="center" textRotation="0" wrapText="false" indent="1" shrinkToFit="false"/>
      <protection locked="fals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2" xfId="0" applyFont="true" applyBorder="true" applyAlignment="true" applyProtection="true">
      <alignment horizontal="general" vertical="center" textRotation="0" wrapText="false" indent="1" shrinkToFit="false"/>
      <protection locked="fals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11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4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2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1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3" borderId="0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1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1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6" fontId="1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7" fontId="12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4" borderId="2" xfId="0" applyFont="true" applyBorder="true" applyAlignment="true" applyProtection="true">
      <alignment horizontal="general" vertical="top" textRotation="0" wrapText="true" indent="0" shrinkToFit="false"/>
      <protection locked="false" hidden="false"/>
    </xf>
    <xf numFmtId="165" fontId="17" fillId="4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9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0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9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7" fontId="8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3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0" borderId="2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5" fontId="12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ont>
        <name val="Arial"/>
        <charset val="1"/>
        <family val="0"/>
        <b val="1"/>
        <color rgb="FF00A841"/>
        <sz val="10"/>
      </font>
    </dxf>
    <dxf>
      <font>
        <name val="Arial"/>
        <charset val="1"/>
        <family val="0"/>
        <b val="1"/>
        <color rgb="FFF96706"/>
        <sz val="10"/>
      </font>
    </dxf>
    <dxf>
      <font>
        <name val="Arial"/>
        <charset val="1"/>
        <family val="0"/>
        <b val="1"/>
        <color rgb="FFE4251B"/>
        <sz val="10"/>
      </font>
    </dxf>
    <dxf>
      <font>
        <name val="Arial"/>
        <charset val="1"/>
        <family val="0"/>
        <b val="1"/>
        <color rgb="FF949494"/>
        <sz val="10"/>
      </font>
    </dxf>
    <dxf>
      <font>
        <name val="Arial"/>
        <charset val="1"/>
        <family val="0"/>
        <color rgb="FF949494"/>
        <sz val="10"/>
      </font>
      <fill>
        <patternFill>
          <bgColor rgb="FFF5F0EF"/>
        </patternFill>
      </fill>
    </dxf>
  </dxfs>
  <colors>
    <indexedColors>
      <rgbColor rgb="FF000000"/>
      <rgbColor rgb="FFFFFFFF"/>
      <rgbColor rgb="FFE4251B"/>
      <rgbColor rgb="FF00FF00"/>
      <rgbColor rgb="FF0000FF"/>
      <rgbColor rgb="FFFFFF00"/>
      <rgbColor rgb="FFFF00FF"/>
      <rgbColor rgb="FF00FFFF"/>
      <rgbColor rgb="FF80002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5F0EF"/>
      <rgbColor rgb="FFE6E6E6"/>
      <rgbColor rgb="FF5C1A2B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7E3E0"/>
      <rgbColor rgb="FF3366FF"/>
      <rgbColor rgb="FF33CCCC"/>
      <rgbColor rgb="FF99CC00"/>
      <rgbColor rgb="FFFFCC00"/>
      <rgbColor rgb="FFFF9900"/>
      <rgbColor rgb="FFF96706"/>
      <rgbColor rgb="FF666699"/>
      <rgbColor rgb="FF949494"/>
      <rgbColor rgb="FF003366"/>
      <rgbColor rgb="FF00A841"/>
      <rgbColor rgb="FF003300"/>
      <rgbColor rgb="FF4A0E1F"/>
      <rgbColor rgb="FF993300"/>
      <rgbColor rgb="FF993366"/>
      <rgbColor rgb="FF333399"/>
      <rgbColor rgb="FF47474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Score by control area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Dashboard!I15</c:f>
              <c:strCache>
                <c:ptCount val="1"/>
                <c:pt idx="0">
                  <c:v>Score</c:v>
                </c:pt>
              </c:strCache>
            </c:strRef>
          </c:tx>
          <c:spPr>
            <a:solidFill>
              <a:srgbClr val="80002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Dashboard!$C$16:$C$28</c:f>
              <c:strCache>
                <c:ptCount val="13"/>
                <c:pt idx="0">
                  <c:v>Human in the loop</c:v>
                </c:pt>
                <c:pt idx="1">
                  <c:v>Intake and risk tiering</c:v>
                </c:pt>
                <c:pt idx="2">
                  <c:v>Data and input controls</c:v>
                </c:pt>
                <c:pt idx="3">
                  <c:v>Output reliability</c:v>
                </c:pt>
                <c:pt idx="4">
                  <c:v>Third-party and embedded AI</c:v>
                </c:pt>
                <c:pt idx="5">
                  <c:v>Agent identity and access</c:v>
                </c:pt>
                <c:pt idx="6">
                  <c:v>Autonomy and action boundaries</c:v>
                </c:pt>
                <c:pt idx="7">
                  <c:v>Prompt injection and untrusted content</c:v>
                </c:pt>
                <c:pt idx="8">
                  <c:v>Logging and records</c:v>
                </c:pt>
                <c:pt idx="9">
                  <c:v>Change control</c:v>
                </c:pt>
                <c:pt idx="10">
                  <c:v>Monitoring and effectiveness</c:v>
                </c:pt>
                <c:pt idx="11">
                  <c:v>Acceptable use and competency</c:v>
                </c:pt>
                <c:pt idx="12">
                  <c:v>Disclosure and transparency</c:v>
                </c:pt>
              </c:strCache>
            </c:strRef>
          </c:cat>
          <c:val>
            <c:numRef>
              <c:f>Dashboard!$I$16:$I$28</c:f>
              <c:numCache>
                <c:formatCode>General</c:formatCode>
                <c:ptCount val="13"/>
              </c:numCache>
            </c:numRef>
          </c:val>
        </c:ser>
        <c:gapWidth val="40"/>
        <c:overlap val="0"/>
        <c:axId val="8884040"/>
        <c:axId val="6081457"/>
      </c:barChart>
      <c:catAx>
        <c:axId val="8884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81457"/>
        <c:crosses val="autoZero"/>
        <c:auto val="1"/>
        <c:lblAlgn val="ctr"/>
        <c:lblOffset val="100"/>
        <c:noMultiLvlLbl val="0"/>
      </c:catAx>
      <c:valAx>
        <c:axId val="6081457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8404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31</xdr:row>
      <xdr:rowOff>0</xdr:rowOff>
    </xdr:from>
    <xdr:to>
      <xdr:col>8</xdr:col>
      <xdr:colOff>433080</xdr:colOff>
      <xdr:row>55</xdr:row>
      <xdr:rowOff>107640</xdr:rowOff>
    </xdr:to>
    <xdr:graphicFrame>
      <xdr:nvGraphicFramePr>
        <xdr:cNvPr id="0" name="Chart 1"/>
        <xdr:cNvGraphicFramePr/>
      </xdr:nvGraphicFramePr>
      <xdr:xfrm>
        <a:off x="211320" y="6153120"/>
        <a:ext cx="719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62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52"/>
    <col collapsed="false" customWidth="true" hidden="false" outlineLevel="0" max="6" min="6" style="0" width="3"/>
  </cols>
  <sheetData>
    <row r="1" customFormat="false" ht="33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B4" s="3" t="s">
        <v>2</v>
      </c>
      <c r="C4" s="3"/>
      <c r="D4" s="3"/>
      <c r="E4" s="3"/>
    </row>
    <row r="5" customFormat="false" ht="16.15" hidden="false" customHeight="false" outlineLevel="0" collapsed="false">
      <c r="B5" s="4" t="s">
        <v>3</v>
      </c>
      <c r="C5" s="4"/>
      <c r="D5" s="4"/>
      <c r="E5" s="4"/>
    </row>
    <row r="7" customFormat="false" ht="18" hidden="false" customHeight="true" outlineLevel="0" collapsed="false">
      <c r="B7" s="5" t="s">
        <v>4</v>
      </c>
      <c r="C7" s="6"/>
      <c r="E7" s="7" t="s">
        <v>5</v>
      </c>
    </row>
    <row r="8" customFormat="false" ht="18" hidden="false" customHeight="true" outlineLevel="0" collapsed="false">
      <c r="B8" s="5" t="s">
        <v>6</v>
      </c>
      <c r="C8" s="6"/>
      <c r="E8" s="7" t="s">
        <v>7</v>
      </c>
    </row>
    <row r="9" customFormat="false" ht="18" hidden="false" customHeight="true" outlineLevel="0" collapsed="false">
      <c r="B9" s="5" t="s">
        <v>8</v>
      </c>
      <c r="C9" s="6"/>
    </row>
    <row r="10" customFormat="false" ht="18" hidden="false" customHeight="true" outlineLevel="0" collapsed="false">
      <c r="B10" s="5" t="s">
        <v>9</v>
      </c>
      <c r="C10" s="6"/>
    </row>
    <row r="11" customFormat="false" ht="18" hidden="false" customHeight="true" outlineLevel="0" collapsed="false">
      <c r="B11" s="5" t="s">
        <v>10</v>
      </c>
      <c r="C11" s="8"/>
    </row>
    <row r="13" customFormat="false" ht="15" hidden="false" customHeight="false" outlineLevel="0" collapsed="false">
      <c r="B13" s="3" t="s">
        <v>11</v>
      </c>
      <c r="C13" s="3"/>
      <c r="D13" s="3"/>
      <c r="E13" s="3"/>
    </row>
    <row r="14" customFormat="false" ht="16.15" hidden="false" customHeight="false" outlineLevel="0" collapsed="false">
      <c r="B14" s="4" t="s">
        <v>12</v>
      </c>
      <c r="C14" s="4"/>
      <c r="D14" s="4"/>
      <c r="E14" s="4"/>
    </row>
    <row r="15" customFormat="false" ht="25.5" hidden="false" customHeight="true" outlineLevel="0" collapsed="false">
      <c r="B15" s="9" t="s">
        <v>13</v>
      </c>
      <c r="C15" s="9"/>
      <c r="D15" s="9"/>
      <c r="E15" s="9"/>
    </row>
    <row r="17" customFormat="false" ht="19.5" hidden="false" customHeight="true" outlineLevel="0" collapsed="false">
      <c r="B17" s="10" t="s">
        <v>14</v>
      </c>
      <c r="C17" s="11" t="s">
        <v>15</v>
      </c>
      <c r="D17" s="11" t="s">
        <v>16</v>
      </c>
      <c r="E17" s="10" t="s">
        <v>17</v>
      </c>
    </row>
    <row r="18" customFormat="false" ht="42" hidden="false" customHeight="true" outlineLevel="0" collapsed="false">
      <c r="B18" s="12" t="s">
        <v>18</v>
      </c>
      <c r="C18" s="13" t="s">
        <v>19</v>
      </c>
      <c r="D18" s="14" t="s">
        <v>20</v>
      </c>
      <c r="E18" s="15" t="s">
        <v>21</v>
      </c>
    </row>
    <row r="19" customFormat="false" ht="42" hidden="false" customHeight="true" outlineLevel="0" collapsed="false">
      <c r="B19" s="12" t="s">
        <v>22</v>
      </c>
      <c r="C19" s="13" t="s">
        <v>23</v>
      </c>
      <c r="D19" s="14" t="s">
        <v>24</v>
      </c>
      <c r="E19" s="15" t="s">
        <v>25</v>
      </c>
    </row>
    <row r="20" customFormat="false" ht="42" hidden="false" customHeight="true" outlineLevel="0" collapsed="false">
      <c r="B20" s="12" t="s">
        <v>26</v>
      </c>
      <c r="C20" s="13" t="s">
        <v>23</v>
      </c>
      <c r="D20" s="14" t="s">
        <v>27</v>
      </c>
      <c r="E20" s="15" t="s">
        <v>28</v>
      </c>
    </row>
    <row r="21" customFormat="false" ht="42" hidden="false" customHeight="true" outlineLevel="0" collapsed="false">
      <c r="B21" s="12" t="s">
        <v>29</v>
      </c>
      <c r="C21" s="13" t="s">
        <v>23</v>
      </c>
      <c r="D21" s="14" t="s">
        <v>30</v>
      </c>
      <c r="E21" s="15" t="s">
        <v>31</v>
      </c>
    </row>
    <row r="22" customFormat="false" ht="42" hidden="false" customHeight="true" outlineLevel="0" collapsed="false">
      <c r="B22" s="12" t="s">
        <v>32</v>
      </c>
      <c r="C22" s="13" t="s">
        <v>19</v>
      </c>
      <c r="D22" s="14" t="s">
        <v>33</v>
      </c>
      <c r="E22" s="15" t="s">
        <v>34</v>
      </c>
    </row>
    <row r="24" customFormat="false" ht="15" hidden="false" customHeight="false" outlineLevel="0" collapsed="false">
      <c r="B24" s="3" t="s">
        <v>35</v>
      </c>
      <c r="C24" s="3"/>
      <c r="D24" s="3"/>
      <c r="E24" s="3"/>
    </row>
    <row r="25" customFormat="false" ht="16.15" hidden="false" customHeight="false" outlineLevel="0" collapsed="false">
      <c r="B25" s="4" t="s">
        <v>36</v>
      </c>
      <c r="C25" s="4"/>
      <c r="D25" s="4"/>
      <c r="E25" s="4"/>
    </row>
    <row r="26" customFormat="false" ht="30" hidden="false" customHeight="true" outlineLevel="0" collapsed="false">
      <c r="B26" s="16" t="s">
        <v>37</v>
      </c>
      <c r="C26" s="9" t="s">
        <v>38</v>
      </c>
      <c r="D26" s="9"/>
      <c r="E26" s="9"/>
    </row>
    <row r="27" customFormat="false" ht="30" hidden="false" customHeight="true" outlineLevel="0" collapsed="false">
      <c r="B27" s="16" t="s">
        <v>39</v>
      </c>
      <c r="C27" s="9" t="s">
        <v>40</v>
      </c>
      <c r="D27" s="9"/>
      <c r="E27" s="9"/>
    </row>
    <row r="28" customFormat="false" ht="30" hidden="false" customHeight="true" outlineLevel="0" collapsed="false">
      <c r="B28" s="16" t="s">
        <v>41</v>
      </c>
      <c r="C28" s="9" t="s">
        <v>42</v>
      </c>
      <c r="D28" s="9"/>
      <c r="E28" s="9"/>
    </row>
    <row r="29" customFormat="false" ht="30" hidden="false" customHeight="true" outlineLevel="0" collapsed="false">
      <c r="B29" s="16" t="s">
        <v>43</v>
      </c>
      <c r="C29" s="9" t="s">
        <v>44</v>
      </c>
      <c r="D29" s="9"/>
      <c r="E29" s="9"/>
    </row>
    <row r="30" customFormat="false" ht="30" hidden="false" customHeight="true" outlineLevel="0" collapsed="false">
      <c r="B30" s="16" t="s">
        <v>45</v>
      </c>
      <c r="C30" s="9" t="s">
        <v>46</v>
      </c>
      <c r="D30" s="9"/>
      <c r="E30" s="9"/>
    </row>
    <row r="31" customFormat="false" ht="30" hidden="false" customHeight="true" outlineLevel="0" collapsed="false">
      <c r="B31" s="16" t="s">
        <v>47</v>
      </c>
      <c r="C31" s="9" t="s">
        <v>48</v>
      </c>
      <c r="D31" s="9"/>
      <c r="E31" s="9"/>
    </row>
    <row r="33" customFormat="false" ht="15" hidden="false" customHeight="false" outlineLevel="0" collapsed="false">
      <c r="B33" s="3" t="s">
        <v>49</v>
      </c>
      <c r="C33" s="3"/>
      <c r="D33" s="3"/>
      <c r="E33" s="3"/>
    </row>
    <row r="34" customFormat="false" ht="16.15" hidden="false" customHeight="false" outlineLevel="0" collapsed="false">
      <c r="B34" s="4" t="s">
        <v>50</v>
      </c>
      <c r="C34" s="4"/>
      <c r="D34" s="4"/>
      <c r="E34" s="4"/>
    </row>
    <row r="35" customFormat="false" ht="15" hidden="false" customHeight="false" outlineLevel="0" collapsed="false">
      <c r="B35" s="17" t="s">
        <v>51</v>
      </c>
      <c r="C35" s="18" t="s">
        <v>52</v>
      </c>
      <c r="D35" s="18" t="s">
        <v>53</v>
      </c>
      <c r="E35" s="17" t="s">
        <v>54</v>
      </c>
    </row>
    <row r="36" customFormat="false" ht="45.75" hidden="false" customHeight="true" outlineLevel="0" collapsed="false">
      <c r="B36" s="12" t="s">
        <v>55</v>
      </c>
      <c r="C36" s="19" t="s">
        <v>56</v>
      </c>
      <c r="D36" s="20" t="n">
        <v>1</v>
      </c>
      <c r="E36" s="15" t="s">
        <v>57</v>
      </c>
    </row>
    <row r="38" customFormat="false" ht="43.5" hidden="false" customHeight="true" outlineLevel="0" collapsed="false">
      <c r="B38" s="21" t="s">
        <v>58</v>
      </c>
      <c r="C38" s="21"/>
      <c r="D38" s="21"/>
      <c r="E38" s="21"/>
    </row>
    <row r="40" customFormat="false" ht="25.5" hidden="false" customHeight="true" outlineLevel="0" collapsed="false">
      <c r="B40" s="22" t="s">
        <v>59</v>
      </c>
      <c r="C40" s="22"/>
      <c r="D40" s="22"/>
      <c r="E40" s="22"/>
    </row>
  </sheetData>
  <sheetProtection sheet="true" formatCells="false"/>
  <mergeCells count="19">
    <mergeCell ref="A1:F1"/>
    <mergeCell ref="A2:F2"/>
    <mergeCell ref="B4:E4"/>
    <mergeCell ref="B5:E5"/>
    <mergeCell ref="B13:E13"/>
    <mergeCell ref="B14:E14"/>
    <mergeCell ref="B15:E15"/>
    <mergeCell ref="B24:E24"/>
    <mergeCell ref="B25:E25"/>
    <mergeCell ref="C26:E26"/>
    <mergeCell ref="C27:E27"/>
    <mergeCell ref="C28:E28"/>
    <mergeCell ref="C29:E29"/>
    <mergeCell ref="C30:E30"/>
    <mergeCell ref="C31:E31"/>
    <mergeCell ref="B33:E33"/>
    <mergeCell ref="B34:E34"/>
    <mergeCell ref="B38:E38"/>
    <mergeCell ref="B40:E40"/>
  </mergeCells>
  <dataValidations count="2">
    <dataValidation allowBlank="true" errorStyle="stop" operator="between" showDropDown="false" showErrorMessage="false" showInputMessage="false" sqref="C9" type="list">
      <formula1>"Not yet tiered,Low,Medium,High"</formula1>
      <formula2>0</formula2>
    </dataValidation>
    <dataValidation allowBlank="false" errorStyle="stop" operator="between" showDropDown="false" showErrorMessage="false" showInputMessage="false" sqref="C18:C22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7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8"/>
    <col collapsed="false" customWidth="true" hidden="false" outlineLevel="0" max="3" min="3" style="0" width="62"/>
    <col collapsed="false" customWidth="true" hidden="false" outlineLevel="0" max="4" min="4" style="0" width="68"/>
    <col collapsed="false" customWidth="true" hidden="false" outlineLevel="0" max="5" min="5" style="0" width="19"/>
    <col collapsed="false" customWidth="true" hidden="false" outlineLevel="0" max="6" min="6" style="0" width="8"/>
    <col collapsed="false" customWidth="true" hidden="true" outlineLevel="0" max="7" min="7" style="0" width="8"/>
    <col collapsed="false" customWidth="true" hidden="false" outlineLevel="0" max="8" min="8" style="0" width="46"/>
    <col collapsed="false" customWidth="true" hidden="false" outlineLevel="0" max="9" min="9" style="0" width="20"/>
    <col collapsed="false" customWidth="true" hidden="false" outlineLevel="0" max="10" min="10" style="0" width="14"/>
    <col collapsed="false" customWidth="true" hidden="true" outlineLevel="0" max="12" min="11" style="0" width="10"/>
  </cols>
  <sheetData>
    <row r="1" customFormat="false" ht="30" hidden="false" customHeight="true" outlineLevel="0" collapsed="false">
      <c r="A1" s="1" t="s">
        <v>60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8" hidden="false" customHeight="true" outlineLevel="0" collapsed="false">
      <c r="A2" s="23" t="s">
        <v>61</v>
      </c>
      <c r="B2" s="23"/>
      <c r="C2" s="23"/>
      <c r="D2" s="23"/>
      <c r="E2" s="23"/>
      <c r="F2" s="23"/>
      <c r="G2" s="23"/>
      <c r="H2" s="23"/>
      <c r="I2" s="23"/>
      <c r="J2" s="23"/>
    </row>
    <row r="4" customFormat="false" ht="25.5" hidden="false" customHeight="true" outlineLevel="0" collapsed="false">
      <c r="A4" s="24" t="s">
        <v>62</v>
      </c>
      <c r="B4" s="24" t="s">
        <v>63</v>
      </c>
      <c r="C4" s="25" t="s">
        <v>51</v>
      </c>
      <c r="D4" s="25" t="s">
        <v>64</v>
      </c>
      <c r="E4" s="24" t="s">
        <v>52</v>
      </c>
      <c r="F4" s="24" t="s">
        <v>53</v>
      </c>
      <c r="G4" s="24" t="s">
        <v>65</v>
      </c>
      <c r="H4" s="25" t="s">
        <v>54</v>
      </c>
      <c r="I4" s="25" t="s">
        <v>66</v>
      </c>
      <c r="J4" s="24" t="s">
        <v>67</v>
      </c>
      <c r="K4" s="25" t="s">
        <v>68</v>
      </c>
      <c r="L4" s="25" t="s">
        <v>69</v>
      </c>
    </row>
    <row r="5" customFormat="false" ht="21.75" hidden="false" customHeight="true" outlineLevel="0" collapsed="false">
      <c r="A5" s="26" t="s">
        <v>70</v>
      </c>
      <c r="B5" s="26"/>
      <c r="C5" s="26"/>
      <c r="D5" s="26"/>
      <c r="E5" s="26"/>
      <c r="F5" s="26"/>
      <c r="G5" s="26"/>
      <c r="H5" s="26"/>
      <c r="I5" s="26"/>
      <c r="J5" s="26"/>
    </row>
    <row r="6" customFormat="false" ht="51.75" hidden="false" customHeight="true" outlineLevel="0" collapsed="false">
      <c r="A6" s="27" t="s">
        <v>71</v>
      </c>
      <c r="B6" s="28" t="s">
        <v>72</v>
      </c>
      <c r="C6" s="29" t="s">
        <v>73</v>
      </c>
      <c r="D6" s="15" t="s">
        <v>74</v>
      </c>
      <c r="E6" s="30"/>
      <c r="F6" s="31" t="str">
        <f aca="false">IF($K6=FALSE(),"",IF($E6="In place",2,IF($E6="Partially in place",1,IF($E6="Not in place",0,""))))</f>
        <v/>
      </c>
      <c r="G6" s="31" t="str">
        <f aca="false">IF($K6=FALSE(),"",IF(OR($E6="In place",$E6="Partially in place",$E6="Not in place"),2,""))</f>
        <v/>
      </c>
      <c r="H6" s="32"/>
      <c r="I6" s="32"/>
      <c r="J6" s="33"/>
      <c r="K6" s="34" t="b">
        <f aca="false">TRUE()</f>
        <v>1</v>
      </c>
      <c r="L6" s="0" t="str">
        <f aca="false">IF(AND($K6=TRUE(),OR($E6="Not in place",$E6="Partially in place")),COUNTIFS($K$6:$K6,TRUE(),$E$6:$E6,"Not in place")+COUNTIFS($K$6:$K6,TRUE(),$E$6:$E6,"Partially in place"),"")</f>
        <v/>
      </c>
    </row>
    <row r="7" customFormat="false" ht="51.75" hidden="false" customHeight="true" outlineLevel="0" collapsed="false">
      <c r="A7" s="27" t="s">
        <v>71</v>
      </c>
      <c r="B7" s="28" t="s">
        <v>75</v>
      </c>
      <c r="C7" s="29" t="s">
        <v>76</v>
      </c>
      <c r="D7" s="15" t="s">
        <v>77</v>
      </c>
      <c r="E7" s="30"/>
      <c r="F7" s="31" t="str">
        <f aca="false">IF($K7=FALSE(),"",IF($E7="In place",2,IF($E7="Partially in place",1,IF($E7="Not in place",0,""))))</f>
        <v/>
      </c>
      <c r="G7" s="31" t="str">
        <f aca="false">IF($K7=FALSE(),"",IF(OR($E7="In place",$E7="Partially in place",$E7="Not in place"),2,""))</f>
        <v/>
      </c>
      <c r="H7" s="32"/>
      <c r="I7" s="32"/>
      <c r="J7" s="33"/>
      <c r="K7" s="34" t="b">
        <f aca="false">TRUE()</f>
        <v>1</v>
      </c>
      <c r="L7" s="0" t="str">
        <f aca="false">IF(AND($K7=TRUE(),OR($E7="Not in place",$E7="Partially in place")),COUNTIFS($K$6:$K7,TRUE(),$E$6:$E7,"Not in place")+COUNTIFS($K$6:$K7,TRUE(),$E$6:$E7,"Partially in place"),"")</f>
        <v/>
      </c>
    </row>
    <row r="8" customFormat="false" ht="51.75" hidden="false" customHeight="true" outlineLevel="0" collapsed="false">
      <c r="A8" s="27" t="s">
        <v>71</v>
      </c>
      <c r="B8" s="28" t="s">
        <v>78</v>
      </c>
      <c r="C8" s="29" t="s">
        <v>79</v>
      </c>
      <c r="D8" s="15" t="s">
        <v>80</v>
      </c>
      <c r="E8" s="30"/>
      <c r="F8" s="31" t="str">
        <f aca="false">IF($K8=FALSE(),"",IF($E8="In place",2,IF($E8="Partially in place",1,IF($E8="Not in place",0,""))))</f>
        <v/>
      </c>
      <c r="G8" s="31" t="str">
        <f aca="false">IF($K8=FALSE(),"",IF(OR($E8="In place",$E8="Partially in place",$E8="Not in place"),2,""))</f>
        <v/>
      </c>
      <c r="H8" s="32"/>
      <c r="I8" s="32"/>
      <c r="J8" s="33"/>
      <c r="K8" s="34" t="b">
        <f aca="false">TRUE()</f>
        <v>1</v>
      </c>
      <c r="L8" s="0" t="str">
        <f aca="false">IF(AND($K8=TRUE(),OR($E8="Not in place",$E8="Partially in place")),COUNTIFS($K$6:$K8,TRUE(),$E$6:$E8,"Not in place")+COUNTIFS($K$6:$K8,TRUE(),$E$6:$E8,"Partially in place"),"")</f>
        <v/>
      </c>
    </row>
    <row r="9" customFormat="false" ht="51.75" hidden="false" customHeight="true" outlineLevel="0" collapsed="false">
      <c r="A9" s="27" t="s">
        <v>71</v>
      </c>
      <c r="B9" s="28" t="s">
        <v>81</v>
      </c>
      <c r="C9" s="29" t="s">
        <v>82</v>
      </c>
      <c r="D9" s="15" t="s">
        <v>83</v>
      </c>
      <c r="E9" s="30"/>
      <c r="F9" s="31" t="str">
        <f aca="false">IF($K9=FALSE(),"",IF($E9="In place",2,IF($E9="Partially in place",1,IF($E9="Not in place",0,""))))</f>
        <v/>
      </c>
      <c r="G9" s="31" t="str">
        <f aca="false">IF($K9=FALSE(),"",IF(OR($E9="In place",$E9="Partially in place",$E9="Not in place"),2,""))</f>
        <v/>
      </c>
      <c r="H9" s="32"/>
      <c r="I9" s="32"/>
      <c r="J9" s="33"/>
      <c r="K9" s="34" t="b">
        <f aca="false">TRUE()</f>
        <v>1</v>
      </c>
      <c r="L9" s="0" t="str">
        <f aca="false">IF(AND($K9=TRUE(),OR($E9="Not in place",$E9="Partially in place")),COUNTIFS($K$6:$K9,TRUE(),$E$6:$E9,"Not in place")+COUNTIFS($K$6:$K9,TRUE(),$E$6:$E9,"Partially in place"),"")</f>
        <v/>
      </c>
    </row>
    <row r="10" customFormat="false" ht="21.75" hidden="false" customHeight="true" outlineLevel="0" collapsed="false">
      <c r="A10" s="26" t="s">
        <v>84</v>
      </c>
      <c r="B10" s="26"/>
      <c r="C10" s="26"/>
      <c r="D10" s="26"/>
      <c r="E10" s="26"/>
      <c r="F10" s="26"/>
      <c r="G10" s="26"/>
      <c r="H10" s="26"/>
      <c r="I10" s="26"/>
      <c r="J10" s="26"/>
    </row>
    <row r="11" customFormat="false" ht="51.75" hidden="false" customHeight="true" outlineLevel="0" collapsed="false">
      <c r="A11" s="27" t="s">
        <v>85</v>
      </c>
      <c r="B11" s="28" t="s">
        <v>86</v>
      </c>
      <c r="C11" s="29" t="s">
        <v>87</v>
      </c>
      <c r="D11" s="15" t="s">
        <v>88</v>
      </c>
      <c r="E11" s="30"/>
      <c r="F11" s="31" t="str">
        <f aca="false">IF($K11=FALSE(),"",IF($E11="In place",2,IF($E11="Partially in place",1,IF($E11="Not in place",0,""))))</f>
        <v/>
      </c>
      <c r="G11" s="31" t="str">
        <f aca="false">IF($K11=FALSE(),"",IF(OR($E11="In place",$E11="Partially in place",$E11="Not in place"),2,""))</f>
        <v/>
      </c>
      <c r="H11" s="32"/>
      <c r="I11" s="32"/>
      <c r="J11" s="33"/>
      <c r="K11" s="34" t="b">
        <f aca="false">TRUE()</f>
        <v>1</v>
      </c>
      <c r="L11" s="0" t="str">
        <f aca="false">IF(AND($K11=TRUE(),OR($E11="Not in place",$E11="Partially in place")),COUNTIFS($K$6:$K11,TRUE(),$E$6:$E11,"Not in place")+COUNTIFS($K$6:$K11,TRUE(),$E$6:$E11,"Partially in place"),"")</f>
        <v/>
      </c>
    </row>
    <row r="12" customFormat="false" ht="51.75" hidden="false" customHeight="true" outlineLevel="0" collapsed="false">
      <c r="A12" s="27" t="s">
        <v>85</v>
      </c>
      <c r="B12" s="28" t="s">
        <v>89</v>
      </c>
      <c r="C12" s="29" t="s">
        <v>90</v>
      </c>
      <c r="D12" s="15" t="s">
        <v>91</v>
      </c>
      <c r="E12" s="30"/>
      <c r="F12" s="31" t="str">
        <f aca="false">IF($K12=FALSE(),"",IF($E12="In place",2,IF($E12="Partially in place",1,IF($E12="Not in place",0,""))))</f>
        <v/>
      </c>
      <c r="G12" s="31" t="str">
        <f aca="false">IF($K12=FALSE(),"",IF(OR($E12="In place",$E12="Partially in place",$E12="Not in place"),2,""))</f>
        <v/>
      </c>
      <c r="H12" s="32"/>
      <c r="I12" s="32"/>
      <c r="J12" s="33"/>
      <c r="K12" s="34" t="b">
        <f aca="false">TRUE()</f>
        <v>1</v>
      </c>
      <c r="L12" s="0" t="str">
        <f aca="false">IF(AND($K12=TRUE(),OR($E12="Not in place",$E12="Partially in place")),COUNTIFS($K$6:$K12,TRUE(),$E$6:$E12,"Not in place")+COUNTIFS($K$6:$K12,TRUE(),$E$6:$E12,"Partially in place"),"")</f>
        <v/>
      </c>
    </row>
    <row r="13" customFormat="false" ht="51.75" hidden="false" customHeight="true" outlineLevel="0" collapsed="false">
      <c r="A13" s="27" t="s">
        <v>85</v>
      </c>
      <c r="B13" s="28" t="s">
        <v>92</v>
      </c>
      <c r="C13" s="29" t="s">
        <v>93</v>
      </c>
      <c r="D13" s="15" t="s">
        <v>94</v>
      </c>
      <c r="E13" s="30"/>
      <c r="F13" s="31" t="str">
        <f aca="false">IF($K13=FALSE(),"",IF($E13="In place",2,IF($E13="Partially in place",1,IF($E13="Not in place",0,""))))</f>
        <v/>
      </c>
      <c r="G13" s="31" t="str">
        <f aca="false">IF($K13=FALSE(),"",IF(OR($E13="In place",$E13="Partially in place",$E13="Not in place"),2,""))</f>
        <v/>
      </c>
      <c r="H13" s="32"/>
      <c r="I13" s="32"/>
      <c r="J13" s="33"/>
      <c r="K13" s="34" t="b">
        <f aca="false">TRUE()</f>
        <v>1</v>
      </c>
      <c r="L13" s="0" t="str">
        <f aca="false">IF(AND($K13=TRUE(),OR($E13="Not in place",$E13="Partially in place")),COUNTIFS($K$6:$K13,TRUE(),$E$6:$E13,"Not in place")+COUNTIFS($K$6:$K13,TRUE(),$E$6:$E13,"Partially in place"),"")</f>
        <v/>
      </c>
    </row>
    <row r="14" customFormat="false" ht="51.75" hidden="false" customHeight="true" outlineLevel="0" collapsed="false">
      <c r="A14" s="27" t="s">
        <v>85</v>
      </c>
      <c r="B14" s="28" t="s">
        <v>95</v>
      </c>
      <c r="C14" s="29" t="s">
        <v>96</v>
      </c>
      <c r="D14" s="15" t="s">
        <v>97</v>
      </c>
      <c r="E14" s="30"/>
      <c r="F14" s="31" t="str">
        <f aca="false">IF($K14=FALSE(),"",IF($E14="In place",2,IF($E14="Partially in place",1,IF($E14="Not in place",0,""))))</f>
        <v/>
      </c>
      <c r="G14" s="31" t="str">
        <f aca="false">IF($K14=FALSE(),"",IF(OR($E14="In place",$E14="Partially in place",$E14="Not in place"),2,""))</f>
        <v/>
      </c>
      <c r="H14" s="32"/>
      <c r="I14" s="32"/>
      <c r="J14" s="33"/>
      <c r="K14" s="34" t="b">
        <f aca="false">TRUE()</f>
        <v>1</v>
      </c>
      <c r="L14" s="0" t="str">
        <f aca="false">IF(AND($K14=TRUE(),OR($E14="Not in place",$E14="Partially in place")),COUNTIFS($K$6:$K14,TRUE(),$E$6:$E14,"Not in place")+COUNTIFS($K$6:$K14,TRUE(),$E$6:$E14,"Partially in place"),"")</f>
        <v/>
      </c>
    </row>
    <row r="15" customFormat="false" ht="21.75" hidden="false" customHeight="true" outlineLevel="0" collapsed="false">
      <c r="A15" s="26" t="s">
        <v>98</v>
      </c>
      <c r="B15" s="26"/>
      <c r="C15" s="26"/>
      <c r="D15" s="26"/>
      <c r="E15" s="26"/>
      <c r="F15" s="26"/>
      <c r="G15" s="26"/>
      <c r="H15" s="26"/>
      <c r="I15" s="26"/>
      <c r="J15" s="26"/>
    </row>
    <row r="16" customFormat="false" ht="51.75" hidden="false" customHeight="true" outlineLevel="0" collapsed="false">
      <c r="A16" s="27" t="s">
        <v>99</v>
      </c>
      <c r="B16" s="28" t="s">
        <v>100</v>
      </c>
      <c r="C16" s="29" t="s">
        <v>101</v>
      </c>
      <c r="D16" s="15" t="s">
        <v>102</v>
      </c>
      <c r="E16" s="30"/>
      <c r="F16" s="31" t="str">
        <f aca="false">IF($K16=FALSE(),"",IF($E16="In place",2,IF($E16="Partially in place",1,IF($E16="Not in place",0,""))))</f>
        <v/>
      </c>
      <c r="G16" s="31" t="str">
        <f aca="false">IF($K16=FALSE(),"",IF(OR($E16="In place",$E16="Partially in place",$E16="Not in place"),2,""))</f>
        <v/>
      </c>
      <c r="H16" s="32"/>
      <c r="I16" s="32"/>
      <c r="J16" s="33"/>
      <c r="K16" s="34" t="b">
        <f aca="false">TRUE()</f>
        <v>1</v>
      </c>
      <c r="L16" s="0" t="str">
        <f aca="false">IF(AND($K16=TRUE(),OR($E16="Not in place",$E16="Partially in place")),COUNTIFS($K$6:$K16,TRUE(),$E$6:$E16,"Not in place")+COUNTIFS($K$6:$K16,TRUE(),$E$6:$E16,"Partially in place"),"")</f>
        <v/>
      </c>
    </row>
    <row r="17" customFormat="false" ht="51.75" hidden="false" customHeight="true" outlineLevel="0" collapsed="false">
      <c r="A17" s="27" t="s">
        <v>99</v>
      </c>
      <c r="B17" s="28" t="s">
        <v>103</v>
      </c>
      <c r="C17" s="29" t="s">
        <v>104</v>
      </c>
      <c r="D17" s="15" t="s">
        <v>105</v>
      </c>
      <c r="E17" s="30"/>
      <c r="F17" s="31" t="str">
        <f aca="false">IF($K17=FALSE(),"",IF($E17="In place",2,IF($E17="Partially in place",1,IF($E17="Not in place",0,""))))</f>
        <v/>
      </c>
      <c r="G17" s="31" t="str">
        <f aca="false">IF($K17=FALSE(),"",IF(OR($E17="In place",$E17="Partially in place",$E17="Not in place"),2,""))</f>
        <v/>
      </c>
      <c r="H17" s="32"/>
      <c r="I17" s="32"/>
      <c r="J17" s="33"/>
      <c r="K17" s="34" t="b">
        <f aca="false">TRUE()</f>
        <v>1</v>
      </c>
      <c r="L17" s="0" t="str">
        <f aca="false">IF(AND($K17=TRUE(),OR($E17="Not in place",$E17="Partially in place")),COUNTIFS($K$6:$K17,TRUE(),$E$6:$E17,"Not in place")+COUNTIFS($K$6:$K17,TRUE(),$E$6:$E17,"Partially in place"),"")</f>
        <v/>
      </c>
    </row>
    <row r="18" customFormat="false" ht="51.75" hidden="false" customHeight="true" outlineLevel="0" collapsed="false">
      <c r="A18" s="27" t="s">
        <v>99</v>
      </c>
      <c r="B18" s="28" t="s">
        <v>106</v>
      </c>
      <c r="C18" s="29" t="s">
        <v>107</v>
      </c>
      <c r="D18" s="15" t="s">
        <v>108</v>
      </c>
      <c r="E18" s="30"/>
      <c r="F18" s="31" t="str">
        <f aca="false">IF($K18=FALSE(),"",IF($E18="In place",2,IF($E18="Partially in place",1,IF($E18="Not in place",0,""))))</f>
        <v/>
      </c>
      <c r="G18" s="31" t="str">
        <f aca="false">IF($K18=FALSE(),"",IF(OR($E18="In place",$E18="Partially in place",$E18="Not in place"),2,""))</f>
        <v/>
      </c>
      <c r="H18" s="32"/>
      <c r="I18" s="32"/>
      <c r="J18" s="33"/>
      <c r="K18" s="34" t="b">
        <f aca="false">TRUE()</f>
        <v>1</v>
      </c>
      <c r="L18" s="0" t="str">
        <f aca="false">IF(AND($K18=TRUE(),OR($E18="Not in place",$E18="Partially in place")),COUNTIFS($K$6:$K18,TRUE(),$E$6:$E18,"Not in place")+COUNTIFS($K$6:$K18,TRUE(),$E$6:$E18,"Partially in place"),"")</f>
        <v/>
      </c>
    </row>
    <row r="19" customFormat="false" ht="51.75" hidden="false" customHeight="true" outlineLevel="0" collapsed="false">
      <c r="A19" s="27" t="s">
        <v>99</v>
      </c>
      <c r="B19" s="28" t="s">
        <v>109</v>
      </c>
      <c r="C19" s="29" t="s">
        <v>110</v>
      </c>
      <c r="D19" s="15" t="s">
        <v>111</v>
      </c>
      <c r="E19" s="30"/>
      <c r="F19" s="31" t="str">
        <f aca="false">IF($K19=FALSE(),"",IF($E19="In place",2,IF($E19="Partially in place",1,IF($E19="Not in place",0,""))))</f>
        <v/>
      </c>
      <c r="G19" s="31" t="str">
        <f aca="false">IF($K19=FALSE(),"",IF(OR($E19="In place",$E19="Partially in place",$E19="Not in place"),2,""))</f>
        <v/>
      </c>
      <c r="H19" s="32"/>
      <c r="I19" s="32"/>
      <c r="J19" s="33"/>
      <c r="K19" s="34" t="b">
        <f aca="false">TRUE()</f>
        <v>1</v>
      </c>
      <c r="L19" s="0" t="str">
        <f aca="false">IF(AND($K19=TRUE(),OR($E19="Not in place",$E19="Partially in place")),COUNTIFS($K$6:$K19,TRUE(),$E$6:$E19,"Not in place")+COUNTIFS($K$6:$K19,TRUE(),$E$6:$E19,"Partially in place"),"")</f>
        <v/>
      </c>
    </row>
    <row r="20" customFormat="false" ht="51.75" hidden="false" customHeight="true" outlineLevel="0" collapsed="false">
      <c r="A20" s="27" t="s">
        <v>99</v>
      </c>
      <c r="B20" s="28" t="s">
        <v>112</v>
      </c>
      <c r="C20" s="29" t="s">
        <v>113</v>
      </c>
      <c r="D20" s="15" t="s">
        <v>114</v>
      </c>
      <c r="E20" s="30"/>
      <c r="F20" s="31" t="str">
        <f aca="false">IF($K20=FALSE(),"",IF($E20="In place",2,IF($E20="Partially in place",1,IF($E20="Not in place",0,""))))</f>
        <v/>
      </c>
      <c r="G20" s="31" t="str">
        <f aca="false">IF($K20=FALSE(),"",IF(OR($E20="In place",$E20="Partially in place",$E20="Not in place"),2,""))</f>
        <v/>
      </c>
      <c r="H20" s="32"/>
      <c r="I20" s="32"/>
      <c r="J20" s="33"/>
      <c r="K20" s="34" t="b">
        <f aca="false">TRUE()</f>
        <v>1</v>
      </c>
      <c r="L20" s="0" t="str">
        <f aca="false">IF(AND($K20=TRUE(),OR($E20="Not in place",$E20="Partially in place")),COUNTIFS($K$6:$K20,TRUE(),$E$6:$E20,"Not in place")+COUNTIFS($K$6:$K20,TRUE(),$E$6:$E20,"Partially in place"),"")</f>
        <v/>
      </c>
    </row>
    <row r="21" customFormat="false" ht="21.75" hidden="false" customHeight="true" outlineLevel="0" collapsed="false">
      <c r="A21" s="26" t="s">
        <v>115</v>
      </c>
      <c r="B21" s="26"/>
      <c r="C21" s="26"/>
      <c r="D21" s="26"/>
      <c r="E21" s="26"/>
      <c r="F21" s="26"/>
      <c r="G21" s="26"/>
      <c r="H21" s="26"/>
      <c r="I21" s="26"/>
      <c r="J21" s="26"/>
    </row>
    <row r="22" customFormat="false" ht="51.75" hidden="false" customHeight="true" outlineLevel="0" collapsed="false">
      <c r="A22" s="27" t="s">
        <v>116</v>
      </c>
      <c r="B22" s="28" t="s">
        <v>117</v>
      </c>
      <c r="C22" s="29" t="s">
        <v>118</v>
      </c>
      <c r="D22" s="15" t="s">
        <v>119</v>
      </c>
      <c r="E22" s="30"/>
      <c r="F22" s="31" t="str">
        <f aca="false">IF($K22=FALSE(),"",IF($E22="In place",2,IF($E22="Partially in place",1,IF($E22="Not in place",0,""))))</f>
        <v/>
      </c>
      <c r="G22" s="31" t="str">
        <f aca="false">IF($K22=FALSE(),"",IF(OR($E22="In place",$E22="Partially in place",$E22="Not in place"),2,""))</f>
        <v/>
      </c>
      <c r="H22" s="32"/>
      <c r="I22" s="32"/>
      <c r="J22" s="33"/>
      <c r="K22" s="34" t="b">
        <f aca="false">TRUE()</f>
        <v>1</v>
      </c>
      <c r="L22" s="0" t="str">
        <f aca="false">IF(AND($K22=TRUE(),OR($E22="Not in place",$E22="Partially in place")),COUNTIFS($K$6:$K22,TRUE(),$E$6:$E22,"Not in place")+COUNTIFS($K$6:$K22,TRUE(),$E$6:$E22,"Partially in place"),"")</f>
        <v/>
      </c>
    </row>
    <row r="23" customFormat="false" ht="51.75" hidden="false" customHeight="true" outlineLevel="0" collapsed="false">
      <c r="A23" s="27" t="s">
        <v>116</v>
      </c>
      <c r="B23" s="28" t="s">
        <v>120</v>
      </c>
      <c r="C23" s="29" t="s">
        <v>121</v>
      </c>
      <c r="D23" s="15" t="s">
        <v>122</v>
      </c>
      <c r="E23" s="30"/>
      <c r="F23" s="31" t="str">
        <f aca="false">IF($K23=FALSE(),"",IF($E23="In place",2,IF($E23="Partially in place",1,IF($E23="Not in place",0,""))))</f>
        <v/>
      </c>
      <c r="G23" s="31" t="str">
        <f aca="false">IF($K23=FALSE(),"",IF(OR($E23="In place",$E23="Partially in place",$E23="Not in place"),2,""))</f>
        <v/>
      </c>
      <c r="H23" s="32"/>
      <c r="I23" s="32"/>
      <c r="J23" s="33"/>
      <c r="K23" s="34" t="b">
        <f aca="false">TRUE()</f>
        <v>1</v>
      </c>
      <c r="L23" s="0" t="str">
        <f aca="false">IF(AND($K23=TRUE(),OR($E23="Not in place",$E23="Partially in place")),COUNTIFS($K$6:$K23,TRUE(),$E$6:$E23,"Not in place")+COUNTIFS($K$6:$K23,TRUE(),$E$6:$E23,"Partially in place"),"")</f>
        <v/>
      </c>
    </row>
    <row r="24" customFormat="false" ht="51.75" hidden="false" customHeight="true" outlineLevel="0" collapsed="false">
      <c r="A24" s="27" t="s">
        <v>116</v>
      </c>
      <c r="B24" s="28" t="s">
        <v>123</v>
      </c>
      <c r="C24" s="29" t="s">
        <v>124</v>
      </c>
      <c r="D24" s="15" t="s">
        <v>125</v>
      </c>
      <c r="E24" s="30"/>
      <c r="F24" s="31" t="str">
        <f aca="false">IF($K24=FALSE(),"",IF($E24="In place",2,IF($E24="Partially in place",1,IF($E24="Not in place",0,""))))</f>
        <v/>
      </c>
      <c r="G24" s="31" t="str">
        <f aca="false">IF($K24=FALSE(),"",IF(OR($E24="In place",$E24="Partially in place",$E24="Not in place"),2,""))</f>
        <v/>
      </c>
      <c r="H24" s="32"/>
      <c r="I24" s="32"/>
      <c r="J24" s="33"/>
      <c r="K24" s="34" t="b">
        <f aca="false">TRUE()</f>
        <v>1</v>
      </c>
      <c r="L24" s="0" t="str">
        <f aca="false">IF(AND($K24=TRUE(),OR($E24="Not in place",$E24="Partially in place")),COUNTIFS($K$6:$K24,TRUE(),$E$6:$E24,"Not in place")+COUNTIFS($K$6:$K24,TRUE(),$E$6:$E24,"Partially in place"),"")</f>
        <v/>
      </c>
    </row>
    <row r="25" customFormat="false" ht="51.75" hidden="false" customHeight="true" outlineLevel="0" collapsed="false">
      <c r="A25" s="27" t="s">
        <v>116</v>
      </c>
      <c r="B25" s="28" t="s">
        <v>126</v>
      </c>
      <c r="C25" s="29" t="s">
        <v>127</v>
      </c>
      <c r="D25" s="15" t="s">
        <v>128</v>
      </c>
      <c r="E25" s="30"/>
      <c r="F25" s="31" t="str">
        <f aca="false">IF($K25=FALSE(),"",IF($E25="In place",2,IF($E25="Partially in place",1,IF($E25="Not in place",0,""))))</f>
        <v/>
      </c>
      <c r="G25" s="31" t="str">
        <f aca="false">IF($K25=FALSE(),"",IF(OR($E25="In place",$E25="Partially in place",$E25="Not in place"),2,""))</f>
        <v/>
      </c>
      <c r="H25" s="32"/>
      <c r="I25" s="32"/>
      <c r="J25" s="33"/>
      <c r="K25" s="34" t="b">
        <f aca="false">TRUE()</f>
        <v>1</v>
      </c>
      <c r="L25" s="0" t="str">
        <f aca="false">IF(AND($K25=TRUE(),OR($E25="Not in place",$E25="Partially in place")),COUNTIFS($K$6:$K25,TRUE(),$E$6:$E25,"Not in place")+COUNTIFS($K$6:$K25,TRUE(),$E$6:$E25,"Partially in place"),"")</f>
        <v/>
      </c>
    </row>
    <row r="26" customFormat="false" ht="51.75" hidden="false" customHeight="true" outlineLevel="0" collapsed="false">
      <c r="A26" s="27" t="s">
        <v>116</v>
      </c>
      <c r="B26" s="28" t="s">
        <v>129</v>
      </c>
      <c r="C26" s="29" t="s">
        <v>130</v>
      </c>
      <c r="D26" s="15" t="s">
        <v>131</v>
      </c>
      <c r="E26" s="30"/>
      <c r="F26" s="31" t="str">
        <f aca="false">IF($K26=FALSE(),"",IF($E26="In place",2,IF($E26="Partially in place",1,IF($E26="Not in place",0,""))))</f>
        <v/>
      </c>
      <c r="G26" s="31" t="str">
        <f aca="false">IF($K26=FALSE(),"",IF(OR($E26="In place",$E26="Partially in place",$E26="Not in place"),2,""))</f>
        <v/>
      </c>
      <c r="H26" s="32"/>
      <c r="I26" s="32"/>
      <c r="J26" s="33"/>
      <c r="K26" s="34" t="b">
        <f aca="false">TRUE()</f>
        <v>1</v>
      </c>
      <c r="L26" s="0" t="str">
        <f aca="false">IF(AND($K26=TRUE(),OR($E26="Not in place",$E26="Partially in place")),COUNTIFS($K$6:$K26,TRUE(),$E$6:$E26,"Not in place")+COUNTIFS($K$6:$K26,TRUE(),$E$6:$E26,"Partially in place"),"")</f>
        <v/>
      </c>
    </row>
    <row r="27" customFormat="false" ht="21.75" hidden="false" customHeight="true" outlineLevel="0" collapsed="false">
      <c r="A27" s="26" t="str">
        <f aca="false">"ERM-ADV-AI-005   ·   Third-party and embedded AI   —   Whether supplied AI capability is diligenced, contracted for, and survivable if withdrawn."&amp;IF(Start!$C$18="Yes",""," ···  OUT OF SCOPE — excluded from scoring")</f>
        <v>ERM-ADV-AI-005   ·   Third-party and embedded AI   —   Whether supplied AI capability is diligenced, contracted for, and survivable if withdrawn.</v>
      </c>
      <c r="B27" s="26"/>
      <c r="C27" s="26"/>
      <c r="D27" s="26"/>
      <c r="E27" s="26"/>
      <c r="F27" s="26"/>
      <c r="G27" s="26"/>
      <c r="H27" s="26"/>
      <c r="I27" s="26"/>
      <c r="J27" s="26"/>
    </row>
    <row r="28" customFormat="false" ht="51.75" hidden="false" customHeight="true" outlineLevel="0" collapsed="false">
      <c r="A28" s="27" t="s">
        <v>132</v>
      </c>
      <c r="B28" s="28" t="s">
        <v>133</v>
      </c>
      <c r="C28" s="29" t="s">
        <v>134</v>
      </c>
      <c r="D28" s="15" t="s">
        <v>135</v>
      </c>
      <c r="E28" s="30"/>
      <c r="F28" s="31" t="str">
        <f aca="false">IF($K28=FALSE(),"",IF($E28="In place",2,IF($E28="Partially in place",1,IF($E28="Not in place",0,""))))</f>
        <v/>
      </c>
      <c r="G28" s="31" t="str">
        <f aca="false">IF($K28=FALSE(),"",IF(OR($E28="In place",$E28="Partially in place",$E28="Not in place"),2,""))</f>
        <v/>
      </c>
      <c r="H28" s="32"/>
      <c r="I28" s="32"/>
      <c r="J28" s="33"/>
      <c r="K28" s="34" t="b">
        <f aca="false">Start!$C$18="Yes"</f>
        <v>1</v>
      </c>
      <c r="L28" s="0" t="str">
        <f aca="false">IF(AND($K28=TRUE(),OR($E28="Not in place",$E28="Partially in place")),COUNTIFS($K$6:$K28,TRUE(),$E$6:$E28,"Not in place")+COUNTIFS($K$6:$K28,TRUE(),$E$6:$E28,"Partially in place"),"")</f>
        <v/>
      </c>
    </row>
    <row r="29" customFormat="false" ht="51.75" hidden="false" customHeight="true" outlineLevel="0" collapsed="false">
      <c r="A29" s="27" t="s">
        <v>132</v>
      </c>
      <c r="B29" s="28" t="s">
        <v>136</v>
      </c>
      <c r="C29" s="29" t="s">
        <v>137</v>
      </c>
      <c r="D29" s="15" t="s">
        <v>138</v>
      </c>
      <c r="E29" s="30"/>
      <c r="F29" s="31" t="str">
        <f aca="false">IF($K29=FALSE(),"",IF($E29="In place",2,IF($E29="Partially in place",1,IF($E29="Not in place",0,""))))</f>
        <v/>
      </c>
      <c r="G29" s="31" t="str">
        <f aca="false">IF($K29=FALSE(),"",IF(OR($E29="In place",$E29="Partially in place",$E29="Not in place"),2,""))</f>
        <v/>
      </c>
      <c r="H29" s="32"/>
      <c r="I29" s="32"/>
      <c r="J29" s="33"/>
      <c r="K29" s="34" t="b">
        <f aca="false">Start!$C$18="Yes"</f>
        <v>1</v>
      </c>
      <c r="L29" s="0" t="str">
        <f aca="false">IF(AND($K29=TRUE(),OR($E29="Not in place",$E29="Partially in place")),COUNTIFS($K$6:$K29,TRUE(),$E$6:$E29,"Not in place")+COUNTIFS($K$6:$K29,TRUE(),$E$6:$E29,"Partially in place"),"")</f>
        <v/>
      </c>
    </row>
    <row r="30" customFormat="false" ht="51.75" hidden="false" customHeight="true" outlineLevel="0" collapsed="false">
      <c r="A30" s="27" t="s">
        <v>132</v>
      </c>
      <c r="B30" s="28" t="s">
        <v>139</v>
      </c>
      <c r="C30" s="29" t="s">
        <v>140</v>
      </c>
      <c r="D30" s="15" t="s">
        <v>141</v>
      </c>
      <c r="E30" s="30"/>
      <c r="F30" s="31" t="str">
        <f aca="false">IF($K30=FALSE(),"",IF($E30="In place",2,IF($E30="Partially in place",1,IF($E30="Not in place",0,""))))</f>
        <v/>
      </c>
      <c r="G30" s="31" t="str">
        <f aca="false">IF($K30=FALSE(),"",IF(OR($E30="In place",$E30="Partially in place",$E30="Not in place"),2,""))</f>
        <v/>
      </c>
      <c r="H30" s="32"/>
      <c r="I30" s="32"/>
      <c r="J30" s="33"/>
      <c r="K30" s="34" t="b">
        <f aca="false">Start!$C$18="Yes"</f>
        <v>1</v>
      </c>
      <c r="L30" s="0" t="str">
        <f aca="false">IF(AND($K30=TRUE(),OR($E30="Not in place",$E30="Partially in place")),COUNTIFS($K$6:$K30,TRUE(),$E$6:$E30,"Not in place")+COUNTIFS($K$6:$K30,TRUE(),$E$6:$E30,"Partially in place"),"")</f>
        <v/>
      </c>
    </row>
    <row r="31" customFormat="false" ht="51.75" hidden="false" customHeight="true" outlineLevel="0" collapsed="false">
      <c r="A31" s="27" t="s">
        <v>132</v>
      </c>
      <c r="B31" s="28" t="s">
        <v>142</v>
      </c>
      <c r="C31" s="29" t="s">
        <v>143</v>
      </c>
      <c r="D31" s="15" t="s">
        <v>144</v>
      </c>
      <c r="E31" s="30"/>
      <c r="F31" s="31" t="str">
        <f aca="false">IF($K31=FALSE(),"",IF($E31="In place",2,IF($E31="Partially in place",1,IF($E31="Not in place",0,""))))</f>
        <v/>
      </c>
      <c r="G31" s="31" t="str">
        <f aca="false">IF($K31=FALSE(),"",IF(OR($E31="In place",$E31="Partially in place",$E31="Not in place"),2,""))</f>
        <v/>
      </c>
      <c r="H31" s="32"/>
      <c r="I31" s="32"/>
      <c r="J31" s="33"/>
      <c r="K31" s="34" t="b">
        <f aca="false">Start!$C$18="Yes"</f>
        <v>1</v>
      </c>
      <c r="L31" s="0" t="str">
        <f aca="false">IF(AND($K31=TRUE(),OR($E31="Not in place",$E31="Partially in place")),COUNTIFS($K$6:$K31,TRUE(),$E$6:$E31,"Not in place")+COUNTIFS($K$6:$K31,TRUE(),$E$6:$E31,"Partially in place"),"")</f>
        <v/>
      </c>
    </row>
    <row r="32" customFormat="false" ht="51.75" hidden="false" customHeight="true" outlineLevel="0" collapsed="false">
      <c r="A32" s="27" t="s">
        <v>132</v>
      </c>
      <c r="B32" s="28" t="s">
        <v>145</v>
      </c>
      <c r="C32" s="29" t="s">
        <v>146</v>
      </c>
      <c r="D32" s="15" t="s">
        <v>147</v>
      </c>
      <c r="E32" s="30"/>
      <c r="F32" s="31" t="str">
        <f aca="false">IF($K32=FALSE(),"",IF($E32="In place",2,IF($E32="Partially in place",1,IF($E32="Not in place",0,""))))</f>
        <v/>
      </c>
      <c r="G32" s="31" t="str">
        <f aca="false">IF($K32=FALSE(),"",IF(OR($E32="In place",$E32="Partially in place",$E32="Not in place"),2,""))</f>
        <v/>
      </c>
      <c r="H32" s="32"/>
      <c r="I32" s="32"/>
      <c r="J32" s="33"/>
      <c r="K32" s="34" t="b">
        <f aca="false">Start!$C$18="Yes"</f>
        <v>1</v>
      </c>
      <c r="L32" s="0" t="str">
        <f aca="false">IF(AND($K32=TRUE(),OR($E32="Not in place",$E32="Partially in place")),COUNTIFS($K$6:$K32,TRUE(),$E$6:$E32,"Not in place")+COUNTIFS($K$6:$K32,TRUE(),$E$6:$E32,"Partially in place"),"")</f>
        <v/>
      </c>
    </row>
    <row r="33" customFormat="false" ht="21.75" hidden="false" customHeight="true" outlineLevel="0" collapsed="false">
      <c r="A33" s="26" t="str">
        <f aca="false">"ERM-ADV-AI-006   ·   Agent identity and access   —   Whether AI access to firm systems is attributable, least-privilege and revocable."&amp;IF(Start!$C$19="Yes",""," ···  OUT OF SCOPE — excluded from scoring")</f>
        <v>ERM-ADV-AI-006   ·   Agent identity and access   —   Whether AI access to firm systems is attributable, least-privilege and revocable. ···  OUT OF SCOPE — excluded from scoring</v>
      </c>
      <c r="B33" s="26"/>
      <c r="C33" s="26"/>
      <c r="D33" s="26"/>
      <c r="E33" s="26"/>
      <c r="F33" s="26"/>
      <c r="G33" s="26"/>
      <c r="H33" s="26"/>
      <c r="I33" s="26"/>
      <c r="J33" s="26"/>
    </row>
    <row r="34" customFormat="false" ht="51.75" hidden="false" customHeight="true" outlineLevel="0" collapsed="false">
      <c r="A34" s="27" t="s">
        <v>148</v>
      </c>
      <c r="B34" s="28" t="s">
        <v>149</v>
      </c>
      <c r="C34" s="29" t="s">
        <v>150</v>
      </c>
      <c r="D34" s="15" t="s">
        <v>151</v>
      </c>
      <c r="E34" s="30"/>
      <c r="F34" s="31" t="str">
        <f aca="false">IF($K34=FALSE(),"",IF($E34="In place",2,IF($E34="Partially in place",1,IF($E34="Not in place",0,""))))</f>
        <v/>
      </c>
      <c r="G34" s="31" t="str">
        <f aca="false">IF($K34=FALSE(),"",IF(OR($E34="In place",$E34="Partially in place",$E34="Not in place"),2,""))</f>
        <v/>
      </c>
      <c r="H34" s="32"/>
      <c r="I34" s="32"/>
      <c r="J34" s="33"/>
      <c r="K34" s="34" t="b">
        <f aca="false">Start!$C$19="Yes"</f>
        <v>0</v>
      </c>
      <c r="L34" s="0" t="str">
        <f aca="false">IF(AND($K34=TRUE(),OR($E34="Not in place",$E34="Partially in place")),COUNTIFS($K$6:$K34,TRUE(),$E$6:$E34,"Not in place")+COUNTIFS($K$6:$K34,TRUE(),$E$6:$E34,"Partially in place"),"")</f>
        <v/>
      </c>
    </row>
    <row r="35" customFormat="false" ht="51.75" hidden="false" customHeight="true" outlineLevel="0" collapsed="false">
      <c r="A35" s="27" t="s">
        <v>148</v>
      </c>
      <c r="B35" s="28" t="s">
        <v>152</v>
      </c>
      <c r="C35" s="29" t="s">
        <v>153</v>
      </c>
      <c r="D35" s="15" t="s">
        <v>154</v>
      </c>
      <c r="E35" s="30"/>
      <c r="F35" s="31" t="str">
        <f aca="false">IF($K35=FALSE(),"",IF($E35="In place",2,IF($E35="Partially in place",1,IF($E35="Not in place",0,""))))</f>
        <v/>
      </c>
      <c r="G35" s="31" t="str">
        <f aca="false">IF($K35=FALSE(),"",IF(OR($E35="In place",$E35="Partially in place",$E35="Not in place"),2,""))</f>
        <v/>
      </c>
      <c r="H35" s="32"/>
      <c r="I35" s="32"/>
      <c r="J35" s="33"/>
      <c r="K35" s="34" t="b">
        <f aca="false">Start!$C$19="Yes"</f>
        <v>0</v>
      </c>
      <c r="L35" s="0" t="str">
        <f aca="false">IF(AND($K35=TRUE(),OR($E35="Not in place",$E35="Partially in place")),COUNTIFS($K$6:$K35,TRUE(),$E$6:$E35,"Not in place")+COUNTIFS($K$6:$K35,TRUE(),$E$6:$E35,"Partially in place"),"")</f>
        <v/>
      </c>
    </row>
    <row r="36" customFormat="false" ht="51.75" hidden="false" customHeight="true" outlineLevel="0" collapsed="false">
      <c r="A36" s="27" t="s">
        <v>148</v>
      </c>
      <c r="B36" s="28" t="s">
        <v>155</v>
      </c>
      <c r="C36" s="29" t="s">
        <v>156</v>
      </c>
      <c r="D36" s="15" t="s">
        <v>157</v>
      </c>
      <c r="E36" s="30"/>
      <c r="F36" s="31" t="str">
        <f aca="false">IF($K36=FALSE(),"",IF($E36="In place",2,IF($E36="Partially in place",1,IF($E36="Not in place",0,""))))</f>
        <v/>
      </c>
      <c r="G36" s="31" t="str">
        <f aca="false">IF($K36=FALSE(),"",IF(OR($E36="In place",$E36="Partially in place",$E36="Not in place"),2,""))</f>
        <v/>
      </c>
      <c r="H36" s="32"/>
      <c r="I36" s="32"/>
      <c r="J36" s="33"/>
      <c r="K36" s="34" t="b">
        <f aca="false">Start!$C$19="Yes"</f>
        <v>0</v>
      </c>
      <c r="L36" s="0" t="str">
        <f aca="false">IF(AND($K36=TRUE(),OR($E36="Not in place",$E36="Partially in place")),COUNTIFS($K$6:$K36,TRUE(),$E$6:$E36,"Not in place")+COUNTIFS($K$6:$K36,TRUE(),$E$6:$E36,"Partially in place"),"")</f>
        <v/>
      </c>
    </row>
    <row r="37" customFormat="false" ht="51.75" hidden="false" customHeight="true" outlineLevel="0" collapsed="false">
      <c r="A37" s="27" t="s">
        <v>148</v>
      </c>
      <c r="B37" s="28" t="s">
        <v>158</v>
      </c>
      <c r="C37" s="29" t="s">
        <v>159</v>
      </c>
      <c r="D37" s="15" t="s">
        <v>160</v>
      </c>
      <c r="E37" s="30"/>
      <c r="F37" s="31" t="str">
        <f aca="false">IF($K37=FALSE(),"",IF($E37="In place",2,IF($E37="Partially in place",1,IF($E37="Not in place",0,""))))</f>
        <v/>
      </c>
      <c r="G37" s="31" t="str">
        <f aca="false">IF($K37=FALSE(),"",IF(OR($E37="In place",$E37="Partially in place",$E37="Not in place"),2,""))</f>
        <v/>
      </c>
      <c r="H37" s="32"/>
      <c r="I37" s="32"/>
      <c r="J37" s="33"/>
      <c r="K37" s="34" t="b">
        <f aca="false">Start!$C$19="Yes"</f>
        <v>0</v>
      </c>
      <c r="L37" s="0" t="str">
        <f aca="false">IF(AND($K37=TRUE(),OR($E37="Not in place",$E37="Partially in place")),COUNTIFS($K$6:$K37,TRUE(),$E$6:$E37,"Not in place")+COUNTIFS($K$6:$K37,TRUE(),$E$6:$E37,"Partially in place"),"")</f>
        <v/>
      </c>
    </row>
    <row r="38" customFormat="false" ht="21.75" hidden="false" customHeight="true" outlineLevel="0" collapsed="false">
      <c r="A38" s="26" t="str">
        <f aca="false">"ERM-ADV-AI-007   ·   Autonomy and action boundaries   —   Whether what the AI may do is defined in advance and enforced by the system."&amp;IF(Start!$C$20="Yes",""," ···  OUT OF SCOPE — excluded from scoring")</f>
        <v>ERM-ADV-AI-007   ·   Autonomy and action boundaries   —   Whether what the AI may do is defined in advance and enforced by the system. ···  OUT OF SCOPE — excluded from scoring</v>
      </c>
      <c r="B38" s="26"/>
      <c r="C38" s="26"/>
      <c r="D38" s="26"/>
      <c r="E38" s="26"/>
      <c r="F38" s="26"/>
      <c r="G38" s="26"/>
      <c r="H38" s="26"/>
      <c r="I38" s="26"/>
      <c r="J38" s="26"/>
    </row>
    <row r="39" customFormat="false" ht="51.75" hidden="false" customHeight="true" outlineLevel="0" collapsed="false">
      <c r="A39" s="27" t="s">
        <v>161</v>
      </c>
      <c r="B39" s="28" t="s">
        <v>162</v>
      </c>
      <c r="C39" s="29" t="s">
        <v>163</v>
      </c>
      <c r="D39" s="15" t="s">
        <v>164</v>
      </c>
      <c r="E39" s="30"/>
      <c r="F39" s="31" t="str">
        <f aca="false">IF($K39=FALSE(),"",IF($E39="In place",2,IF($E39="Partially in place",1,IF($E39="Not in place",0,""))))</f>
        <v/>
      </c>
      <c r="G39" s="31" t="str">
        <f aca="false">IF($K39=FALSE(),"",IF(OR($E39="In place",$E39="Partially in place",$E39="Not in place"),2,""))</f>
        <v/>
      </c>
      <c r="H39" s="32"/>
      <c r="I39" s="32"/>
      <c r="J39" s="33"/>
      <c r="K39" s="34" t="b">
        <f aca="false">Start!$C$20="Yes"</f>
        <v>0</v>
      </c>
      <c r="L39" s="0" t="str">
        <f aca="false">IF(AND($K39=TRUE(),OR($E39="Not in place",$E39="Partially in place")),COUNTIFS($K$6:$K39,TRUE(),$E$6:$E39,"Not in place")+COUNTIFS($K$6:$K39,TRUE(),$E$6:$E39,"Partially in place"),"")</f>
        <v/>
      </c>
    </row>
    <row r="40" customFormat="false" ht="51.75" hidden="false" customHeight="true" outlineLevel="0" collapsed="false">
      <c r="A40" s="27" t="s">
        <v>161</v>
      </c>
      <c r="B40" s="28" t="s">
        <v>165</v>
      </c>
      <c r="C40" s="29" t="s">
        <v>166</v>
      </c>
      <c r="D40" s="15" t="s">
        <v>167</v>
      </c>
      <c r="E40" s="30"/>
      <c r="F40" s="31" t="str">
        <f aca="false">IF($K40=FALSE(),"",IF($E40="In place",2,IF($E40="Partially in place",1,IF($E40="Not in place",0,""))))</f>
        <v/>
      </c>
      <c r="G40" s="31" t="str">
        <f aca="false">IF($K40=FALSE(),"",IF(OR($E40="In place",$E40="Partially in place",$E40="Not in place"),2,""))</f>
        <v/>
      </c>
      <c r="H40" s="32"/>
      <c r="I40" s="32"/>
      <c r="J40" s="33"/>
      <c r="K40" s="34" t="b">
        <f aca="false">Start!$C$20="Yes"</f>
        <v>0</v>
      </c>
      <c r="L40" s="0" t="str">
        <f aca="false">IF(AND($K40=TRUE(),OR($E40="Not in place",$E40="Partially in place")),COUNTIFS($K$6:$K40,TRUE(),$E$6:$E40,"Not in place")+COUNTIFS($K$6:$K40,TRUE(),$E$6:$E40,"Partially in place"),"")</f>
        <v/>
      </c>
    </row>
    <row r="41" customFormat="false" ht="51.75" hidden="false" customHeight="true" outlineLevel="0" collapsed="false">
      <c r="A41" s="27" t="s">
        <v>161</v>
      </c>
      <c r="B41" s="28" t="s">
        <v>168</v>
      </c>
      <c r="C41" s="29" t="s">
        <v>169</v>
      </c>
      <c r="D41" s="15" t="s">
        <v>170</v>
      </c>
      <c r="E41" s="30"/>
      <c r="F41" s="31" t="str">
        <f aca="false">IF($K41=FALSE(),"",IF($E41="In place",2,IF($E41="Partially in place",1,IF($E41="Not in place",0,""))))</f>
        <v/>
      </c>
      <c r="G41" s="31" t="str">
        <f aca="false">IF($K41=FALSE(),"",IF(OR($E41="In place",$E41="Partially in place",$E41="Not in place"),2,""))</f>
        <v/>
      </c>
      <c r="H41" s="32"/>
      <c r="I41" s="32"/>
      <c r="J41" s="33"/>
      <c r="K41" s="34" t="b">
        <f aca="false">Start!$C$20="Yes"</f>
        <v>0</v>
      </c>
      <c r="L41" s="0" t="str">
        <f aca="false">IF(AND($K41=TRUE(),OR($E41="Not in place",$E41="Partially in place")),COUNTIFS($K$6:$K41,TRUE(),$E$6:$E41,"Not in place")+COUNTIFS($K$6:$K41,TRUE(),$E$6:$E41,"Partially in place"),"")</f>
        <v/>
      </c>
    </row>
    <row r="42" customFormat="false" ht="51.75" hidden="false" customHeight="true" outlineLevel="0" collapsed="false">
      <c r="A42" s="27" t="s">
        <v>161</v>
      </c>
      <c r="B42" s="28" t="s">
        <v>171</v>
      </c>
      <c r="C42" s="29" t="s">
        <v>172</v>
      </c>
      <c r="D42" s="15" t="s">
        <v>173</v>
      </c>
      <c r="E42" s="30"/>
      <c r="F42" s="31" t="str">
        <f aca="false">IF($K42=FALSE(),"",IF($E42="In place",2,IF($E42="Partially in place",1,IF($E42="Not in place",0,""))))</f>
        <v/>
      </c>
      <c r="G42" s="31" t="str">
        <f aca="false">IF($K42=FALSE(),"",IF(OR($E42="In place",$E42="Partially in place",$E42="Not in place"),2,""))</f>
        <v/>
      </c>
      <c r="H42" s="32"/>
      <c r="I42" s="32"/>
      <c r="J42" s="33"/>
      <c r="K42" s="34" t="b">
        <f aca="false">Start!$C$20="Yes"</f>
        <v>0</v>
      </c>
      <c r="L42" s="0" t="str">
        <f aca="false">IF(AND($K42=TRUE(),OR($E42="Not in place",$E42="Partially in place")),COUNTIFS($K$6:$K42,TRUE(),$E$6:$E42,"Not in place")+COUNTIFS($K$6:$K42,TRUE(),$E$6:$E42,"Partially in place"),"")</f>
        <v/>
      </c>
    </row>
    <row r="43" customFormat="false" ht="51.75" hidden="false" customHeight="true" outlineLevel="0" collapsed="false">
      <c r="A43" s="27" t="s">
        <v>161</v>
      </c>
      <c r="B43" s="28" t="s">
        <v>174</v>
      </c>
      <c r="C43" s="29" t="s">
        <v>175</v>
      </c>
      <c r="D43" s="15" t="s">
        <v>176</v>
      </c>
      <c r="E43" s="30"/>
      <c r="F43" s="31" t="str">
        <f aca="false">IF($K43=FALSE(),"",IF($E43="In place",2,IF($E43="Partially in place",1,IF($E43="Not in place",0,""))))</f>
        <v/>
      </c>
      <c r="G43" s="31" t="str">
        <f aca="false">IF($K43=FALSE(),"",IF(OR($E43="In place",$E43="Partially in place",$E43="Not in place"),2,""))</f>
        <v/>
      </c>
      <c r="H43" s="32"/>
      <c r="I43" s="32"/>
      <c r="J43" s="33"/>
      <c r="K43" s="34" t="b">
        <f aca="false">Start!$C$20="Yes"</f>
        <v>0</v>
      </c>
      <c r="L43" s="0" t="str">
        <f aca="false">IF(AND($K43=TRUE(),OR($E43="Not in place",$E43="Partially in place")),COUNTIFS($K$6:$K43,TRUE(),$E$6:$E43,"Not in place")+COUNTIFS($K$6:$K43,TRUE(),$E$6:$E43,"Partially in place"),"")</f>
        <v/>
      </c>
    </row>
    <row r="44" customFormat="false" ht="21.75" hidden="false" customHeight="true" outlineLevel="0" collapsed="false">
      <c r="A44" s="26" t="str">
        <f aca="false">"ERM-ADV-AI-008   ·   Prompt injection and untrusted content   —   Whether content the firm does not control can influence what the AI does."&amp;IF(Start!$C$21="Yes",""," ···  OUT OF SCOPE — excluded from scoring")</f>
        <v>ERM-ADV-AI-008   ·   Prompt injection and untrusted content   —   Whether content the firm does not control can influence what the AI does. ···  OUT OF SCOPE — excluded from scoring</v>
      </c>
      <c r="B44" s="26"/>
      <c r="C44" s="26"/>
      <c r="D44" s="26"/>
      <c r="E44" s="26"/>
      <c r="F44" s="26"/>
      <c r="G44" s="26"/>
      <c r="H44" s="26"/>
      <c r="I44" s="26"/>
      <c r="J44" s="26"/>
    </row>
    <row r="45" customFormat="false" ht="51.75" hidden="false" customHeight="true" outlineLevel="0" collapsed="false">
      <c r="A45" s="27" t="s">
        <v>177</v>
      </c>
      <c r="B45" s="28" t="s">
        <v>178</v>
      </c>
      <c r="C45" s="29" t="s">
        <v>179</v>
      </c>
      <c r="D45" s="15" t="s">
        <v>180</v>
      </c>
      <c r="E45" s="30"/>
      <c r="F45" s="31" t="str">
        <f aca="false">IF($K45=FALSE(),"",IF($E45="In place",2,IF($E45="Partially in place",1,IF($E45="Not in place",0,""))))</f>
        <v/>
      </c>
      <c r="G45" s="31" t="str">
        <f aca="false">IF($K45=FALSE(),"",IF(OR($E45="In place",$E45="Partially in place",$E45="Not in place"),2,""))</f>
        <v/>
      </c>
      <c r="H45" s="32"/>
      <c r="I45" s="32"/>
      <c r="J45" s="33"/>
      <c r="K45" s="34" t="b">
        <f aca="false">Start!$C$21="Yes"</f>
        <v>0</v>
      </c>
      <c r="L45" s="0" t="str">
        <f aca="false">IF(AND($K45=TRUE(),OR($E45="Not in place",$E45="Partially in place")),COUNTIFS($K$6:$K45,TRUE(),$E$6:$E45,"Not in place")+COUNTIFS($K$6:$K45,TRUE(),$E$6:$E45,"Partially in place"),"")</f>
        <v/>
      </c>
    </row>
    <row r="46" customFormat="false" ht="51.75" hidden="false" customHeight="true" outlineLevel="0" collapsed="false">
      <c r="A46" s="27" t="s">
        <v>177</v>
      </c>
      <c r="B46" s="28" t="s">
        <v>181</v>
      </c>
      <c r="C46" s="29" t="s">
        <v>182</v>
      </c>
      <c r="D46" s="15" t="s">
        <v>183</v>
      </c>
      <c r="E46" s="30"/>
      <c r="F46" s="31" t="str">
        <f aca="false">IF($K46=FALSE(),"",IF($E46="In place",2,IF($E46="Partially in place",1,IF($E46="Not in place",0,""))))</f>
        <v/>
      </c>
      <c r="G46" s="31" t="str">
        <f aca="false">IF($K46=FALSE(),"",IF(OR($E46="In place",$E46="Partially in place",$E46="Not in place"),2,""))</f>
        <v/>
      </c>
      <c r="H46" s="32"/>
      <c r="I46" s="32"/>
      <c r="J46" s="33"/>
      <c r="K46" s="34" t="b">
        <f aca="false">Start!$C$21="Yes"</f>
        <v>0</v>
      </c>
      <c r="L46" s="0" t="str">
        <f aca="false">IF(AND($K46=TRUE(),OR($E46="Not in place",$E46="Partially in place")),COUNTIFS($K$6:$K46,TRUE(),$E$6:$E46,"Not in place")+COUNTIFS($K$6:$K46,TRUE(),$E$6:$E46,"Partially in place"),"")</f>
        <v/>
      </c>
    </row>
    <row r="47" customFormat="false" ht="51.75" hidden="false" customHeight="true" outlineLevel="0" collapsed="false">
      <c r="A47" s="27" t="s">
        <v>177</v>
      </c>
      <c r="B47" s="28" t="s">
        <v>184</v>
      </c>
      <c r="C47" s="29" t="s">
        <v>185</v>
      </c>
      <c r="D47" s="15" t="s">
        <v>186</v>
      </c>
      <c r="E47" s="30"/>
      <c r="F47" s="31" t="str">
        <f aca="false">IF($K47=FALSE(),"",IF($E47="In place",2,IF($E47="Partially in place",1,IF($E47="Not in place",0,""))))</f>
        <v/>
      </c>
      <c r="G47" s="31" t="str">
        <f aca="false">IF($K47=FALSE(),"",IF(OR($E47="In place",$E47="Partially in place",$E47="Not in place"),2,""))</f>
        <v/>
      </c>
      <c r="H47" s="32"/>
      <c r="I47" s="32"/>
      <c r="J47" s="33"/>
      <c r="K47" s="34" t="b">
        <f aca="false">Start!$C$21="Yes"</f>
        <v>0</v>
      </c>
      <c r="L47" s="0" t="str">
        <f aca="false">IF(AND($K47=TRUE(),OR($E47="Not in place",$E47="Partially in place")),COUNTIFS($K$6:$K47,TRUE(),$E$6:$E47,"Not in place")+COUNTIFS($K$6:$K47,TRUE(),$E$6:$E47,"Partially in place"),"")</f>
        <v/>
      </c>
    </row>
    <row r="48" customFormat="false" ht="51.75" hidden="false" customHeight="true" outlineLevel="0" collapsed="false">
      <c r="A48" s="27" t="s">
        <v>177</v>
      </c>
      <c r="B48" s="28" t="s">
        <v>187</v>
      </c>
      <c r="C48" s="29" t="s">
        <v>188</v>
      </c>
      <c r="D48" s="15" t="s">
        <v>189</v>
      </c>
      <c r="E48" s="30"/>
      <c r="F48" s="31" t="str">
        <f aca="false">IF($K48=FALSE(),"",IF($E48="In place",2,IF($E48="Partially in place",1,IF($E48="Not in place",0,""))))</f>
        <v/>
      </c>
      <c r="G48" s="31" t="str">
        <f aca="false">IF($K48=FALSE(),"",IF(OR($E48="In place",$E48="Partially in place",$E48="Not in place"),2,""))</f>
        <v/>
      </c>
      <c r="H48" s="32"/>
      <c r="I48" s="32"/>
      <c r="J48" s="33"/>
      <c r="K48" s="34" t="b">
        <f aca="false">Start!$C$21="Yes"</f>
        <v>0</v>
      </c>
      <c r="L48" s="0" t="str">
        <f aca="false">IF(AND($K48=TRUE(),OR($E48="Not in place",$E48="Partially in place")),COUNTIFS($K$6:$K48,TRUE(),$E$6:$E48,"Not in place")+COUNTIFS($K$6:$K48,TRUE(),$E$6:$E48,"Partially in place"),"")</f>
        <v/>
      </c>
    </row>
    <row r="49" customFormat="false" ht="51.75" hidden="false" customHeight="true" outlineLevel="0" collapsed="false">
      <c r="A49" s="27" t="s">
        <v>177</v>
      </c>
      <c r="B49" s="28" t="s">
        <v>190</v>
      </c>
      <c r="C49" s="29" t="s">
        <v>191</v>
      </c>
      <c r="D49" s="15" t="s">
        <v>192</v>
      </c>
      <c r="E49" s="30"/>
      <c r="F49" s="31" t="str">
        <f aca="false">IF($K49=FALSE(),"",IF($E49="In place",2,IF($E49="Partially in place",1,IF($E49="Not in place",0,""))))</f>
        <v/>
      </c>
      <c r="G49" s="31" t="str">
        <f aca="false">IF($K49=FALSE(),"",IF(OR($E49="In place",$E49="Partially in place",$E49="Not in place"),2,""))</f>
        <v/>
      </c>
      <c r="H49" s="32"/>
      <c r="I49" s="32"/>
      <c r="J49" s="33"/>
      <c r="K49" s="34" t="b">
        <f aca="false">Start!$C$21="Yes"</f>
        <v>0</v>
      </c>
      <c r="L49" s="0" t="str">
        <f aca="false">IF(AND($K49=TRUE(),OR($E49="Not in place",$E49="Partially in place")),COUNTIFS($K$6:$K49,TRUE(),$E$6:$E49,"Not in place")+COUNTIFS($K$6:$K49,TRUE(),$E$6:$E49,"Partially in place"),"")</f>
        <v/>
      </c>
    </row>
    <row r="50" customFormat="false" ht="21.75" hidden="false" customHeight="true" outlineLevel="0" collapsed="false">
      <c r="A50" s="26" t="s">
        <v>193</v>
      </c>
      <c r="B50" s="26"/>
      <c r="C50" s="26"/>
      <c r="D50" s="26"/>
      <c r="E50" s="26"/>
      <c r="F50" s="26"/>
      <c r="G50" s="26"/>
      <c r="H50" s="26"/>
      <c r="I50" s="26"/>
      <c r="J50" s="26"/>
    </row>
    <row r="51" customFormat="false" ht="51.75" hidden="false" customHeight="true" outlineLevel="0" collapsed="false">
      <c r="A51" s="27" t="s">
        <v>194</v>
      </c>
      <c r="B51" s="28" t="s">
        <v>195</v>
      </c>
      <c r="C51" s="29" t="s">
        <v>196</v>
      </c>
      <c r="D51" s="15" t="s">
        <v>197</v>
      </c>
      <c r="E51" s="30"/>
      <c r="F51" s="31" t="str">
        <f aca="false">IF($K51=FALSE(),"",IF($E51="In place",2,IF($E51="Partially in place",1,IF($E51="Not in place",0,""))))</f>
        <v/>
      </c>
      <c r="G51" s="31" t="str">
        <f aca="false">IF($K51=FALSE(),"",IF(OR($E51="In place",$E51="Partially in place",$E51="Not in place"),2,""))</f>
        <v/>
      </c>
      <c r="H51" s="32"/>
      <c r="I51" s="32"/>
      <c r="J51" s="33"/>
      <c r="K51" s="34" t="b">
        <f aca="false">TRUE()</f>
        <v>1</v>
      </c>
      <c r="L51" s="0" t="str">
        <f aca="false">IF(AND($K51=TRUE(),OR($E51="Not in place",$E51="Partially in place")),COUNTIFS($K$6:$K51,TRUE(),$E$6:$E51,"Not in place")+COUNTIFS($K$6:$K51,TRUE(),$E$6:$E51,"Partially in place"),"")</f>
        <v/>
      </c>
    </row>
    <row r="52" customFormat="false" ht="51.75" hidden="false" customHeight="true" outlineLevel="0" collapsed="false">
      <c r="A52" s="27" t="s">
        <v>194</v>
      </c>
      <c r="B52" s="28" t="s">
        <v>198</v>
      </c>
      <c r="C52" s="29" t="s">
        <v>199</v>
      </c>
      <c r="D52" s="15" t="s">
        <v>200</v>
      </c>
      <c r="E52" s="30"/>
      <c r="F52" s="31" t="str">
        <f aca="false">IF($K52=FALSE(),"",IF($E52="In place",2,IF($E52="Partially in place",1,IF($E52="Not in place",0,""))))</f>
        <v/>
      </c>
      <c r="G52" s="31" t="str">
        <f aca="false">IF($K52=FALSE(),"",IF(OR($E52="In place",$E52="Partially in place",$E52="Not in place"),2,""))</f>
        <v/>
      </c>
      <c r="H52" s="32"/>
      <c r="I52" s="32"/>
      <c r="J52" s="33"/>
      <c r="K52" s="34" t="b">
        <f aca="false">TRUE()</f>
        <v>1</v>
      </c>
      <c r="L52" s="0" t="str">
        <f aca="false">IF(AND($K52=TRUE(),OR($E52="Not in place",$E52="Partially in place")),COUNTIFS($K$6:$K52,TRUE(),$E$6:$E52,"Not in place")+COUNTIFS($K$6:$K52,TRUE(),$E$6:$E52,"Partially in place"),"")</f>
        <v/>
      </c>
    </row>
    <row r="53" customFormat="false" ht="51.75" hidden="false" customHeight="true" outlineLevel="0" collapsed="false">
      <c r="A53" s="27" t="s">
        <v>194</v>
      </c>
      <c r="B53" s="28" t="s">
        <v>201</v>
      </c>
      <c r="C53" s="29" t="s">
        <v>202</v>
      </c>
      <c r="D53" s="15" t="s">
        <v>203</v>
      </c>
      <c r="E53" s="30"/>
      <c r="F53" s="31" t="str">
        <f aca="false">IF($K53=FALSE(),"",IF($E53="In place",2,IF($E53="Partially in place",1,IF($E53="Not in place",0,""))))</f>
        <v/>
      </c>
      <c r="G53" s="31" t="str">
        <f aca="false">IF($K53=FALSE(),"",IF(OR($E53="In place",$E53="Partially in place",$E53="Not in place"),2,""))</f>
        <v/>
      </c>
      <c r="H53" s="32"/>
      <c r="I53" s="32"/>
      <c r="J53" s="33"/>
      <c r="K53" s="34" t="b">
        <f aca="false">TRUE()</f>
        <v>1</v>
      </c>
      <c r="L53" s="0" t="str">
        <f aca="false">IF(AND($K53=TRUE(),OR($E53="Not in place",$E53="Partially in place")),COUNTIFS($K$6:$K53,TRUE(),$E$6:$E53,"Not in place")+COUNTIFS($K$6:$K53,TRUE(),$E$6:$E53,"Partially in place"),"")</f>
        <v/>
      </c>
    </row>
    <row r="54" customFormat="false" ht="51.75" hidden="false" customHeight="true" outlineLevel="0" collapsed="false">
      <c r="A54" s="27" t="s">
        <v>194</v>
      </c>
      <c r="B54" s="28" t="s">
        <v>204</v>
      </c>
      <c r="C54" s="29" t="s">
        <v>205</v>
      </c>
      <c r="D54" s="15" t="s">
        <v>206</v>
      </c>
      <c r="E54" s="30"/>
      <c r="F54" s="31" t="str">
        <f aca="false">IF($K54=FALSE(),"",IF($E54="In place",2,IF($E54="Partially in place",1,IF($E54="Not in place",0,""))))</f>
        <v/>
      </c>
      <c r="G54" s="31" t="str">
        <f aca="false">IF($K54=FALSE(),"",IF(OR($E54="In place",$E54="Partially in place",$E54="Not in place"),2,""))</f>
        <v/>
      </c>
      <c r="H54" s="32"/>
      <c r="I54" s="32"/>
      <c r="J54" s="33"/>
      <c r="K54" s="34" t="b">
        <f aca="false">TRUE()</f>
        <v>1</v>
      </c>
      <c r="L54" s="0" t="str">
        <f aca="false">IF(AND($K54=TRUE(),OR($E54="Not in place",$E54="Partially in place")),COUNTIFS($K$6:$K54,TRUE(),$E$6:$E54,"Not in place")+COUNTIFS($K$6:$K54,TRUE(),$E$6:$E54,"Partially in place"),"")</f>
        <v/>
      </c>
    </row>
    <row r="55" customFormat="false" ht="51.75" hidden="false" customHeight="true" outlineLevel="0" collapsed="false">
      <c r="A55" s="27" t="s">
        <v>194</v>
      </c>
      <c r="B55" s="28" t="s">
        <v>207</v>
      </c>
      <c r="C55" s="29" t="s">
        <v>208</v>
      </c>
      <c r="D55" s="15" t="s">
        <v>209</v>
      </c>
      <c r="E55" s="30"/>
      <c r="F55" s="31" t="str">
        <f aca="false">IF($K55=FALSE(),"",IF($E55="In place",2,IF($E55="Partially in place",1,IF($E55="Not in place",0,""))))</f>
        <v/>
      </c>
      <c r="G55" s="31" t="str">
        <f aca="false">IF($K55=FALSE(),"",IF(OR($E55="In place",$E55="Partially in place",$E55="Not in place"),2,""))</f>
        <v/>
      </c>
      <c r="H55" s="32"/>
      <c r="I55" s="32"/>
      <c r="J55" s="33"/>
      <c r="K55" s="34" t="b">
        <f aca="false">TRUE()</f>
        <v>1</v>
      </c>
      <c r="L55" s="0" t="str">
        <f aca="false">IF(AND($K55=TRUE(),OR($E55="Not in place",$E55="Partially in place")),COUNTIFS($K$6:$K55,TRUE(),$E$6:$E55,"Not in place")+COUNTIFS($K$6:$K55,TRUE(),$E$6:$E55,"Partially in place"),"")</f>
        <v/>
      </c>
    </row>
    <row r="56" customFormat="false" ht="21.75" hidden="false" customHeight="true" outlineLevel="0" collapsed="false">
      <c r="A56" s="26" t="s">
        <v>210</v>
      </c>
      <c r="B56" s="26"/>
      <c r="C56" s="26"/>
      <c r="D56" s="26"/>
      <c r="E56" s="26"/>
      <c r="F56" s="26"/>
      <c r="G56" s="26"/>
      <c r="H56" s="26"/>
      <c r="I56" s="26"/>
      <c r="J56" s="26"/>
    </row>
    <row r="57" customFormat="false" ht="51.75" hidden="false" customHeight="true" outlineLevel="0" collapsed="false">
      <c r="A57" s="27" t="s">
        <v>211</v>
      </c>
      <c r="B57" s="28" t="s">
        <v>212</v>
      </c>
      <c r="C57" s="29" t="s">
        <v>213</v>
      </c>
      <c r="D57" s="15" t="s">
        <v>214</v>
      </c>
      <c r="E57" s="30"/>
      <c r="F57" s="31" t="str">
        <f aca="false">IF($K57=FALSE(),"",IF($E57="In place",2,IF($E57="Partially in place",1,IF($E57="Not in place",0,""))))</f>
        <v/>
      </c>
      <c r="G57" s="31" t="str">
        <f aca="false">IF($K57=FALSE(),"",IF(OR($E57="In place",$E57="Partially in place",$E57="Not in place"),2,""))</f>
        <v/>
      </c>
      <c r="H57" s="32"/>
      <c r="I57" s="32"/>
      <c r="J57" s="33"/>
      <c r="K57" s="34" t="b">
        <f aca="false">TRUE()</f>
        <v>1</v>
      </c>
      <c r="L57" s="0" t="str">
        <f aca="false">IF(AND($K57=TRUE(),OR($E57="Not in place",$E57="Partially in place")),COUNTIFS($K$6:$K57,TRUE(),$E$6:$E57,"Not in place")+COUNTIFS($K$6:$K57,TRUE(),$E$6:$E57,"Partially in place"),"")</f>
        <v/>
      </c>
    </row>
    <row r="58" customFormat="false" ht="51.75" hidden="false" customHeight="true" outlineLevel="0" collapsed="false">
      <c r="A58" s="27" t="s">
        <v>211</v>
      </c>
      <c r="B58" s="28" t="s">
        <v>215</v>
      </c>
      <c r="C58" s="29" t="s">
        <v>216</v>
      </c>
      <c r="D58" s="15" t="s">
        <v>217</v>
      </c>
      <c r="E58" s="30"/>
      <c r="F58" s="31" t="str">
        <f aca="false">IF($K58=FALSE(),"",IF($E58="In place",2,IF($E58="Partially in place",1,IF($E58="Not in place",0,""))))</f>
        <v/>
      </c>
      <c r="G58" s="31" t="str">
        <f aca="false">IF($K58=FALSE(),"",IF(OR($E58="In place",$E58="Partially in place",$E58="Not in place"),2,""))</f>
        <v/>
      </c>
      <c r="H58" s="32"/>
      <c r="I58" s="32"/>
      <c r="J58" s="33"/>
      <c r="K58" s="34" t="b">
        <f aca="false">TRUE()</f>
        <v>1</v>
      </c>
      <c r="L58" s="0" t="str">
        <f aca="false">IF(AND($K58=TRUE(),OR($E58="Not in place",$E58="Partially in place")),COUNTIFS($K$6:$K58,TRUE(),$E$6:$E58,"Not in place")+COUNTIFS($K$6:$K58,TRUE(),$E$6:$E58,"Partially in place"),"")</f>
        <v/>
      </c>
    </row>
    <row r="59" customFormat="false" ht="51.75" hidden="false" customHeight="true" outlineLevel="0" collapsed="false">
      <c r="A59" s="27" t="s">
        <v>211</v>
      </c>
      <c r="B59" s="28" t="s">
        <v>218</v>
      </c>
      <c r="C59" s="29" t="s">
        <v>219</v>
      </c>
      <c r="D59" s="15" t="s">
        <v>220</v>
      </c>
      <c r="E59" s="30"/>
      <c r="F59" s="31" t="str">
        <f aca="false">IF($K59=FALSE(),"",IF($E59="In place",2,IF($E59="Partially in place",1,IF($E59="Not in place",0,""))))</f>
        <v/>
      </c>
      <c r="G59" s="31" t="str">
        <f aca="false">IF($K59=FALSE(),"",IF(OR($E59="In place",$E59="Partially in place",$E59="Not in place"),2,""))</f>
        <v/>
      </c>
      <c r="H59" s="32"/>
      <c r="I59" s="32"/>
      <c r="J59" s="33"/>
      <c r="K59" s="34" t="b">
        <f aca="false">TRUE()</f>
        <v>1</v>
      </c>
      <c r="L59" s="0" t="str">
        <f aca="false">IF(AND($K59=TRUE(),OR($E59="Not in place",$E59="Partially in place")),COUNTIFS($K$6:$K59,TRUE(),$E$6:$E59,"Not in place")+COUNTIFS($K$6:$K59,TRUE(),$E$6:$E59,"Partially in place"),"")</f>
        <v/>
      </c>
    </row>
    <row r="60" customFormat="false" ht="51.75" hidden="false" customHeight="true" outlineLevel="0" collapsed="false">
      <c r="A60" s="27" t="s">
        <v>211</v>
      </c>
      <c r="B60" s="28" t="s">
        <v>221</v>
      </c>
      <c r="C60" s="29" t="s">
        <v>222</v>
      </c>
      <c r="D60" s="15" t="s">
        <v>223</v>
      </c>
      <c r="E60" s="30"/>
      <c r="F60" s="31" t="str">
        <f aca="false">IF($K60=FALSE(),"",IF($E60="In place",2,IF($E60="Partially in place",1,IF($E60="Not in place",0,""))))</f>
        <v/>
      </c>
      <c r="G60" s="31" t="str">
        <f aca="false">IF($K60=FALSE(),"",IF(OR($E60="In place",$E60="Partially in place",$E60="Not in place"),2,""))</f>
        <v/>
      </c>
      <c r="H60" s="32"/>
      <c r="I60" s="32"/>
      <c r="J60" s="33"/>
      <c r="K60" s="34" t="b">
        <f aca="false">TRUE()</f>
        <v>1</v>
      </c>
      <c r="L60" s="0" t="str">
        <f aca="false">IF(AND($K60=TRUE(),OR($E60="Not in place",$E60="Partially in place")),COUNTIFS($K$6:$K60,TRUE(),$E$6:$E60,"Not in place")+COUNTIFS($K$6:$K60,TRUE(),$E$6:$E60,"Partially in place"),"")</f>
        <v/>
      </c>
    </row>
    <row r="61" customFormat="false" ht="51.75" hidden="false" customHeight="true" outlineLevel="0" collapsed="false">
      <c r="A61" s="27" t="s">
        <v>211</v>
      </c>
      <c r="B61" s="28" t="s">
        <v>224</v>
      </c>
      <c r="C61" s="29" t="s">
        <v>225</v>
      </c>
      <c r="D61" s="15" t="s">
        <v>226</v>
      </c>
      <c r="E61" s="30"/>
      <c r="F61" s="31" t="str">
        <f aca="false">IF($K61=FALSE(),"",IF($E61="In place",2,IF($E61="Partially in place",1,IF($E61="Not in place",0,""))))</f>
        <v/>
      </c>
      <c r="G61" s="31" t="str">
        <f aca="false">IF($K61=FALSE(),"",IF(OR($E61="In place",$E61="Partially in place",$E61="Not in place"),2,""))</f>
        <v/>
      </c>
      <c r="H61" s="32"/>
      <c r="I61" s="32"/>
      <c r="J61" s="33"/>
      <c r="K61" s="34" t="b">
        <f aca="false">TRUE()</f>
        <v>1</v>
      </c>
      <c r="L61" s="0" t="str">
        <f aca="false">IF(AND($K61=TRUE(),OR($E61="Not in place",$E61="Partially in place")),COUNTIFS($K$6:$K61,TRUE(),$E$6:$E61,"Not in place")+COUNTIFS($K$6:$K61,TRUE(),$E$6:$E61,"Partially in place"),"")</f>
        <v/>
      </c>
    </row>
    <row r="62" customFormat="false" ht="21.75" hidden="false" customHeight="true" outlineLevel="0" collapsed="false">
      <c r="A62" s="26" t="s">
        <v>227</v>
      </c>
      <c r="B62" s="26"/>
      <c r="C62" s="26"/>
      <c r="D62" s="26"/>
      <c r="E62" s="26"/>
      <c r="F62" s="26"/>
      <c r="G62" s="26"/>
      <c r="H62" s="26"/>
      <c r="I62" s="26"/>
      <c r="J62" s="26"/>
    </row>
    <row r="63" customFormat="false" ht="51.75" hidden="false" customHeight="true" outlineLevel="0" collapsed="false">
      <c r="A63" s="27" t="s">
        <v>228</v>
      </c>
      <c r="B63" s="28" t="s">
        <v>229</v>
      </c>
      <c r="C63" s="29" t="s">
        <v>230</v>
      </c>
      <c r="D63" s="15" t="s">
        <v>231</v>
      </c>
      <c r="E63" s="30"/>
      <c r="F63" s="31" t="str">
        <f aca="false">IF($K63=FALSE(),"",IF($E63="In place",2,IF($E63="Partially in place",1,IF($E63="Not in place",0,""))))</f>
        <v/>
      </c>
      <c r="G63" s="31" t="str">
        <f aca="false">IF($K63=FALSE(),"",IF(OR($E63="In place",$E63="Partially in place",$E63="Not in place"),2,""))</f>
        <v/>
      </c>
      <c r="H63" s="32"/>
      <c r="I63" s="32"/>
      <c r="J63" s="33"/>
      <c r="K63" s="34" t="b">
        <f aca="false">TRUE()</f>
        <v>1</v>
      </c>
      <c r="L63" s="0" t="str">
        <f aca="false">IF(AND($K63=TRUE(),OR($E63="Not in place",$E63="Partially in place")),COUNTIFS($K$6:$K63,TRUE(),$E$6:$E63,"Not in place")+COUNTIFS($K$6:$K63,TRUE(),$E$6:$E63,"Partially in place"),"")</f>
        <v/>
      </c>
    </row>
    <row r="64" customFormat="false" ht="51.75" hidden="false" customHeight="true" outlineLevel="0" collapsed="false">
      <c r="A64" s="27" t="s">
        <v>228</v>
      </c>
      <c r="B64" s="28" t="s">
        <v>232</v>
      </c>
      <c r="C64" s="29" t="s">
        <v>233</v>
      </c>
      <c r="D64" s="15" t="s">
        <v>234</v>
      </c>
      <c r="E64" s="30"/>
      <c r="F64" s="31" t="str">
        <f aca="false">IF($K64=FALSE(),"",IF($E64="In place",2,IF($E64="Partially in place",1,IF($E64="Not in place",0,""))))</f>
        <v/>
      </c>
      <c r="G64" s="31" t="str">
        <f aca="false">IF($K64=FALSE(),"",IF(OR($E64="In place",$E64="Partially in place",$E64="Not in place"),2,""))</f>
        <v/>
      </c>
      <c r="H64" s="32"/>
      <c r="I64" s="32"/>
      <c r="J64" s="33"/>
      <c r="K64" s="34" t="b">
        <f aca="false">TRUE()</f>
        <v>1</v>
      </c>
      <c r="L64" s="0" t="str">
        <f aca="false">IF(AND($K64=TRUE(),OR($E64="Not in place",$E64="Partially in place")),COUNTIFS($K$6:$K64,TRUE(),$E$6:$E64,"Not in place")+COUNTIFS($K$6:$K64,TRUE(),$E$6:$E64,"Partially in place"),"")</f>
        <v/>
      </c>
    </row>
    <row r="65" customFormat="false" ht="51.75" hidden="false" customHeight="true" outlineLevel="0" collapsed="false">
      <c r="A65" s="27" t="s">
        <v>228</v>
      </c>
      <c r="B65" s="28" t="s">
        <v>235</v>
      </c>
      <c r="C65" s="29" t="s">
        <v>236</v>
      </c>
      <c r="D65" s="15" t="s">
        <v>237</v>
      </c>
      <c r="E65" s="30"/>
      <c r="F65" s="31" t="str">
        <f aca="false">IF($K65=FALSE(),"",IF($E65="In place",2,IF($E65="Partially in place",1,IF($E65="Not in place",0,""))))</f>
        <v/>
      </c>
      <c r="G65" s="31" t="str">
        <f aca="false">IF($K65=FALSE(),"",IF(OR($E65="In place",$E65="Partially in place",$E65="Not in place"),2,""))</f>
        <v/>
      </c>
      <c r="H65" s="32"/>
      <c r="I65" s="32"/>
      <c r="J65" s="33"/>
      <c r="K65" s="34" t="b">
        <f aca="false">TRUE()</f>
        <v>1</v>
      </c>
      <c r="L65" s="0" t="str">
        <f aca="false">IF(AND($K65=TRUE(),OR($E65="Not in place",$E65="Partially in place")),COUNTIFS($K$6:$K65,TRUE(),$E$6:$E65,"Not in place")+COUNTIFS($K$6:$K65,TRUE(),$E$6:$E65,"Partially in place"),"")</f>
        <v/>
      </c>
    </row>
    <row r="66" customFormat="false" ht="51.75" hidden="false" customHeight="true" outlineLevel="0" collapsed="false">
      <c r="A66" s="27" t="s">
        <v>228</v>
      </c>
      <c r="B66" s="28" t="s">
        <v>238</v>
      </c>
      <c r="C66" s="29" t="s">
        <v>239</v>
      </c>
      <c r="D66" s="15" t="s">
        <v>240</v>
      </c>
      <c r="E66" s="30"/>
      <c r="F66" s="31" t="str">
        <f aca="false">IF($K66=FALSE(),"",IF($E66="In place",2,IF($E66="Partially in place",1,IF($E66="Not in place",0,""))))</f>
        <v/>
      </c>
      <c r="G66" s="31" t="str">
        <f aca="false">IF($K66=FALSE(),"",IF(OR($E66="In place",$E66="Partially in place",$E66="Not in place"),2,""))</f>
        <v/>
      </c>
      <c r="H66" s="32"/>
      <c r="I66" s="32"/>
      <c r="J66" s="33"/>
      <c r="K66" s="34" t="b">
        <f aca="false">TRUE()</f>
        <v>1</v>
      </c>
      <c r="L66" s="0" t="str">
        <f aca="false">IF(AND($K66=TRUE(),OR($E66="Not in place",$E66="Partially in place")),COUNTIFS($K$6:$K66,TRUE(),$E$6:$E66,"Not in place")+COUNTIFS($K$6:$K66,TRUE(),$E$6:$E66,"Partially in place"),"")</f>
        <v/>
      </c>
    </row>
    <row r="67" customFormat="false" ht="51.75" hidden="false" customHeight="true" outlineLevel="0" collapsed="false">
      <c r="A67" s="27" t="s">
        <v>228</v>
      </c>
      <c r="B67" s="28" t="s">
        <v>241</v>
      </c>
      <c r="C67" s="29" t="s">
        <v>242</v>
      </c>
      <c r="D67" s="15" t="s">
        <v>243</v>
      </c>
      <c r="E67" s="30"/>
      <c r="F67" s="31" t="str">
        <f aca="false">IF($K67=FALSE(),"",IF($E67="In place",2,IF($E67="Partially in place",1,IF($E67="Not in place",0,""))))</f>
        <v/>
      </c>
      <c r="G67" s="31" t="str">
        <f aca="false">IF($K67=FALSE(),"",IF(OR($E67="In place",$E67="Partially in place",$E67="Not in place"),2,""))</f>
        <v/>
      </c>
      <c r="H67" s="32"/>
      <c r="I67" s="32"/>
      <c r="J67" s="33"/>
      <c r="K67" s="34" t="b">
        <f aca="false">TRUE()</f>
        <v>1</v>
      </c>
      <c r="L67" s="0" t="str">
        <f aca="false">IF(AND($K67=TRUE(),OR($E67="Not in place",$E67="Partially in place")),COUNTIFS($K$6:$K67,TRUE(),$E$6:$E67,"Not in place")+COUNTIFS($K$6:$K67,TRUE(),$E$6:$E67,"Partially in place"),"")</f>
        <v/>
      </c>
    </row>
    <row r="68" customFormat="false" ht="21.75" hidden="false" customHeight="true" outlineLevel="0" collapsed="false">
      <c r="A68" s="26" t="s">
        <v>244</v>
      </c>
      <c r="B68" s="26"/>
      <c r="C68" s="26"/>
      <c r="D68" s="26"/>
      <c r="E68" s="26"/>
      <c r="F68" s="26"/>
      <c r="G68" s="26"/>
      <c r="H68" s="26"/>
      <c r="I68" s="26"/>
      <c r="J68" s="26"/>
    </row>
    <row r="69" customFormat="false" ht="51.75" hidden="false" customHeight="true" outlineLevel="0" collapsed="false">
      <c r="A69" s="27" t="s">
        <v>245</v>
      </c>
      <c r="B69" s="28" t="s">
        <v>246</v>
      </c>
      <c r="C69" s="29" t="s">
        <v>247</v>
      </c>
      <c r="D69" s="15" t="s">
        <v>248</v>
      </c>
      <c r="E69" s="30"/>
      <c r="F69" s="31" t="str">
        <f aca="false">IF($K69=FALSE(),"",IF($E69="In place",2,IF($E69="Partially in place",1,IF($E69="Not in place",0,""))))</f>
        <v/>
      </c>
      <c r="G69" s="31" t="str">
        <f aca="false">IF($K69=FALSE(),"",IF(OR($E69="In place",$E69="Partially in place",$E69="Not in place"),2,""))</f>
        <v/>
      </c>
      <c r="H69" s="32"/>
      <c r="I69" s="32"/>
      <c r="J69" s="33"/>
      <c r="K69" s="34" t="b">
        <f aca="false">TRUE()</f>
        <v>1</v>
      </c>
      <c r="L69" s="0" t="str">
        <f aca="false">IF(AND($K69=TRUE(),OR($E69="Not in place",$E69="Partially in place")),COUNTIFS($K$6:$K69,TRUE(),$E$6:$E69,"Not in place")+COUNTIFS($K$6:$K69,TRUE(),$E$6:$E69,"Partially in place"),"")</f>
        <v/>
      </c>
    </row>
    <row r="70" customFormat="false" ht="51.75" hidden="false" customHeight="true" outlineLevel="0" collapsed="false">
      <c r="A70" s="27" t="s">
        <v>245</v>
      </c>
      <c r="B70" s="28" t="s">
        <v>249</v>
      </c>
      <c r="C70" s="29" t="s">
        <v>250</v>
      </c>
      <c r="D70" s="15" t="s">
        <v>251</v>
      </c>
      <c r="E70" s="30"/>
      <c r="F70" s="31" t="str">
        <f aca="false">IF($K70=FALSE(),"",IF($E70="In place",2,IF($E70="Partially in place",1,IF($E70="Not in place",0,""))))</f>
        <v/>
      </c>
      <c r="G70" s="31" t="str">
        <f aca="false">IF($K70=FALSE(),"",IF(OR($E70="In place",$E70="Partially in place",$E70="Not in place"),2,""))</f>
        <v/>
      </c>
      <c r="H70" s="32"/>
      <c r="I70" s="32"/>
      <c r="J70" s="33"/>
      <c r="K70" s="34" t="b">
        <f aca="false">TRUE()</f>
        <v>1</v>
      </c>
      <c r="L70" s="0" t="str">
        <f aca="false">IF(AND($K70=TRUE(),OR($E70="Not in place",$E70="Partially in place")),COUNTIFS($K$6:$K70,TRUE(),$E$6:$E70,"Not in place")+COUNTIFS($K$6:$K70,TRUE(),$E$6:$E70,"Partially in place"),"")</f>
        <v/>
      </c>
    </row>
    <row r="71" customFormat="false" ht="51.75" hidden="false" customHeight="true" outlineLevel="0" collapsed="false">
      <c r="A71" s="27" t="s">
        <v>245</v>
      </c>
      <c r="B71" s="28" t="s">
        <v>252</v>
      </c>
      <c r="C71" s="29" t="s">
        <v>253</v>
      </c>
      <c r="D71" s="15" t="s">
        <v>254</v>
      </c>
      <c r="E71" s="30"/>
      <c r="F71" s="31" t="str">
        <f aca="false">IF($K71=FALSE(),"",IF($E71="In place",2,IF($E71="Partially in place",1,IF($E71="Not in place",0,""))))</f>
        <v/>
      </c>
      <c r="G71" s="31" t="str">
        <f aca="false">IF($K71=FALSE(),"",IF(OR($E71="In place",$E71="Partially in place",$E71="Not in place"),2,""))</f>
        <v/>
      </c>
      <c r="H71" s="32"/>
      <c r="I71" s="32"/>
      <c r="J71" s="33"/>
      <c r="K71" s="34" t="b">
        <f aca="false">TRUE()</f>
        <v>1</v>
      </c>
      <c r="L71" s="0" t="str">
        <f aca="false">IF(AND($K71=TRUE(),OR($E71="Not in place",$E71="Partially in place")),COUNTIFS($K$6:$K71,TRUE(),$E$6:$E71,"Not in place")+COUNTIFS($K$6:$K71,TRUE(),$E$6:$E71,"Partially in place"),"")</f>
        <v/>
      </c>
    </row>
    <row r="72" customFormat="false" ht="51.75" hidden="false" customHeight="true" outlineLevel="0" collapsed="false">
      <c r="A72" s="27" t="s">
        <v>245</v>
      </c>
      <c r="B72" s="28" t="s">
        <v>255</v>
      </c>
      <c r="C72" s="29" t="s">
        <v>256</v>
      </c>
      <c r="D72" s="15" t="s">
        <v>257</v>
      </c>
      <c r="E72" s="30"/>
      <c r="F72" s="31" t="str">
        <f aca="false">IF($K72=FALSE(),"",IF($E72="In place",2,IF($E72="Partially in place",1,IF($E72="Not in place",0,""))))</f>
        <v/>
      </c>
      <c r="G72" s="31" t="str">
        <f aca="false">IF($K72=FALSE(),"",IF(OR($E72="In place",$E72="Partially in place",$E72="Not in place"),2,""))</f>
        <v/>
      </c>
      <c r="H72" s="32"/>
      <c r="I72" s="32"/>
      <c r="J72" s="33"/>
      <c r="K72" s="34" t="b">
        <f aca="false">TRUE()</f>
        <v>1</v>
      </c>
      <c r="L72" s="0" t="str">
        <f aca="false">IF(AND($K72=TRUE(),OR($E72="Not in place",$E72="Partially in place")),COUNTIFS($K$6:$K72,TRUE(),$E$6:$E72,"Not in place")+COUNTIFS($K$6:$K72,TRUE(),$E$6:$E72,"Partially in place"),"")</f>
        <v/>
      </c>
    </row>
    <row r="73" customFormat="false" ht="51.75" hidden="false" customHeight="true" outlineLevel="0" collapsed="false">
      <c r="A73" s="27" t="s">
        <v>245</v>
      </c>
      <c r="B73" s="28" t="s">
        <v>258</v>
      </c>
      <c r="C73" s="29" t="s">
        <v>259</v>
      </c>
      <c r="D73" s="15" t="s">
        <v>260</v>
      </c>
      <c r="E73" s="30"/>
      <c r="F73" s="31" t="str">
        <f aca="false">IF($K73=FALSE(),"",IF($E73="In place",2,IF($E73="Partially in place",1,IF($E73="Not in place",0,""))))</f>
        <v/>
      </c>
      <c r="G73" s="31" t="str">
        <f aca="false">IF($K73=FALSE(),"",IF(OR($E73="In place",$E73="Partially in place",$E73="Not in place"),2,""))</f>
        <v/>
      </c>
      <c r="H73" s="32"/>
      <c r="I73" s="32"/>
      <c r="J73" s="33"/>
      <c r="K73" s="34" t="b">
        <f aca="false">TRUE()</f>
        <v>1</v>
      </c>
      <c r="L73" s="0" t="str">
        <f aca="false">IF(AND($K73=TRUE(),OR($E73="Not in place",$E73="Partially in place")),COUNTIFS($K$6:$K73,TRUE(),$E$6:$E73,"Not in place")+COUNTIFS($K$6:$K73,TRUE(),$E$6:$E73,"Partially in place"),"")</f>
        <v/>
      </c>
    </row>
    <row r="74" customFormat="false" ht="21.75" hidden="false" customHeight="true" outlineLevel="0" collapsed="false">
      <c r="A74" s="26" t="str">
        <f aca="false">"ERM-ADV-AI-013   ·   Disclosure and transparency   —   Whether AI involvement is disclosed where required, and claims about it are substantiated."&amp;IF(Start!$C$22="Yes",""," ···  OUT OF SCOPE — excluded from scoring")</f>
        <v>ERM-ADV-AI-013   ·   Disclosure and transparency   —   Whether AI involvement is disclosed where required, and claims about it are substantiated.</v>
      </c>
      <c r="B74" s="26"/>
      <c r="C74" s="26"/>
      <c r="D74" s="26"/>
      <c r="E74" s="26"/>
      <c r="F74" s="26"/>
      <c r="G74" s="26"/>
      <c r="H74" s="26"/>
      <c r="I74" s="26"/>
      <c r="J74" s="26"/>
    </row>
    <row r="75" customFormat="false" ht="51.75" hidden="false" customHeight="true" outlineLevel="0" collapsed="false">
      <c r="A75" s="27" t="s">
        <v>261</v>
      </c>
      <c r="B75" s="28" t="s">
        <v>262</v>
      </c>
      <c r="C75" s="29" t="s">
        <v>263</v>
      </c>
      <c r="D75" s="15" t="s">
        <v>264</v>
      </c>
      <c r="E75" s="30"/>
      <c r="F75" s="31" t="str">
        <f aca="false">IF($K75=FALSE(),"",IF($E75="In place",2,IF($E75="Partially in place",1,IF($E75="Not in place",0,""))))</f>
        <v/>
      </c>
      <c r="G75" s="31" t="str">
        <f aca="false">IF($K75=FALSE(),"",IF(OR($E75="In place",$E75="Partially in place",$E75="Not in place"),2,""))</f>
        <v/>
      </c>
      <c r="H75" s="32"/>
      <c r="I75" s="32"/>
      <c r="J75" s="33"/>
      <c r="K75" s="34" t="b">
        <f aca="false">Start!$C$22="Yes"</f>
        <v>1</v>
      </c>
      <c r="L75" s="0" t="str">
        <f aca="false">IF(AND($K75=TRUE(),OR($E75="Not in place",$E75="Partially in place")),COUNTIFS($K$6:$K75,TRUE(),$E$6:$E75,"Not in place")+COUNTIFS($K$6:$K75,TRUE(),$E$6:$E75,"Partially in place"),"")</f>
        <v/>
      </c>
    </row>
    <row r="76" customFormat="false" ht="51.75" hidden="false" customHeight="true" outlineLevel="0" collapsed="false">
      <c r="A76" s="27" t="s">
        <v>261</v>
      </c>
      <c r="B76" s="28" t="s">
        <v>265</v>
      </c>
      <c r="C76" s="29" t="s">
        <v>266</v>
      </c>
      <c r="D76" s="15" t="s">
        <v>267</v>
      </c>
      <c r="E76" s="30"/>
      <c r="F76" s="31" t="str">
        <f aca="false">IF($K76=FALSE(),"",IF($E76="In place",2,IF($E76="Partially in place",1,IF($E76="Not in place",0,""))))</f>
        <v/>
      </c>
      <c r="G76" s="31" t="str">
        <f aca="false">IF($K76=FALSE(),"",IF(OR($E76="In place",$E76="Partially in place",$E76="Not in place"),2,""))</f>
        <v/>
      </c>
      <c r="H76" s="32"/>
      <c r="I76" s="32"/>
      <c r="J76" s="33"/>
      <c r="K76" s="34" t="b">
        <f aca="false">Start!$C$22="Yes"</f>
        <v>1</v>
      </c>
      <c r="L76" s="0" t="str">
        <f aca="false">IF(AND($K76=TRUE(),OR($E76="Not in place",$E76="Partially in place")),COUNTIFS($K$6:$K76,TRUE(),$E$6:$E76,"Not in place")+COUNTIFS($K$6:$K76,TRUE(),$E$6:$E76,"Partially in place"),"")</f>
        <v/>
      </c>
    </row>
    <row r="77" customFormat="false" ht="51.75" hidden="false" customHeight="true" outlineLevel="0" collapsed="false">
      <c r="A77" s="27" t="s">
        <v>261</v>
      </c>
      <c r="B77" s="28" t="s">
        <v>268</v>
      </c>
      <c r="C77" s="29" t="s">
        <v>269</v>
      </c>
      <c r="D77" s="15" t="s">
        <v>270</v>
      </c>
      <c r="E77" s="30"/>
      <c r="F77" s="31" t="str">
        <f aca="false">IF($K77=FALSE(),"",IF($E77="In place",2,IF($E77="Partially in place",1,IF($E77="Not in place",0,""))))</f>
        <v/>
      </c>
      <c r="G77" s="31" t="str">
        <f aca="false">IF($K77=FALSE(),"",IF(OR($E77="In place",$E77="Partially in place",$E77="Not in place"),2,""))</f>
        <v/>
      </c>
      <c r="H77" s="32"/>
      <c r="I77" s="32"/>
      <c r="J77" s="33"/>
      <c r="K77" s="34" t="b">
        <f aca="false">Start!$C$22="Yes"</f>
        <v>1</v>
      </c>
      <c r="L77" s="0" t="str">
        <f aca="false">IF(AND($K77=TRUE(),OR($E77="Not in place",$E77="Partially in place")),COUNTIFS($K$6:$K77,TRUE(),$E$6:$E77,"Not in place")+COUNTIFS($K$6:$K77,TRUE(),$E$6:$E77,"Partially in place"),"")</f>
        <v/>
      </c>
    </row>
    <row r="78" customFormat="false" ht="51.75" hidden="false" customHeight="true" outlineLevel="0" collapsed="false">
      <c r="A78" s="27" t="s">
        <v>261</v>
      </c>
      <c r="B78" s="28" t="s">
        <v>271</v>
      </c>
      <c r="C78" s="29" t="s">
        <v>272</v>
      </c>
      <c r="D78" s="15" t="s">
        <v>273</v>
      </c>
      <c r="E78" s="30"/>
      <c r="F78" s="31" t="str">
        <f aca="false">IF($K78=FALSE(),"",IF($E78="In place",2,IF($E78="Partially in place",1,IF($E78="Not in place",0,""))))</f>
        <v/>
      </c>
      <c r="G78" s="31" t="str">
        <f aca="false">IF($K78=FALSE(),"",IF(OR($E78="In place",$E78="Partially in place",$E78="Not in place"),2,""))</f>
        <v/>
      </c>
      <c r="H78" s="32"/>
      <c r="I78" s="32"/>
      <c r="J78" s="33"/>
      <c r="K78" s="34" t="b">
        <f aca="false">Start!$C$22="Yes"</f>
        <v>1</v>
      </c>
      <c r="L78" s="0" t="str">
        <f aca="false">IF(AND($K78=TRUE(),OR($E78="Not in place",$E78="Partially in place")),COUNTIFS($K$6:$K78,TRUE(),$E$6:$E78,"Not in place")+COUNTIFS($K$6:$K78,TRUE(),$E$6:$E78,"Partially in place"),"")</f>
        <v/>
      </c>
    </row>
    <row r="79" customFormat="false" ht="51.75" hidden="false" customHeight="true" outlineLevel="0" collapsed="false">
      <c r="A79" s="27" t="s">
        <v>261</v>
      </c>
      <c r="B79" s="28" t="s">
        <v>274</v>
      </c>
      <c r="C79" s="29" t="s">
        <v>275</v>
      </c>
      <c r="D79" s="15" t="s">
        <v>276</v>
      </c>
      <c r="E79" s="30"/>
      <c r="F79" s="31" t="str">
        <f aca="false">IF($K79=FALSE(),"",IF($E79="In place",2,IF($E79="Partially in place",1,IF($E79="Not in place",0,""))))</f>
        <v/>
      </c>
      <c r="G79" s="31" t="str">
        <f aca="false">IF($K79=FALSE(),"",IF(OR($E79="In place",$E79="Partially in place",$E79="Not in place"),2,""))</f>
        <v/>
      </c>
      <c r="H79" s="32"/>
      <c r="I79" s="32"/>
      <c r="J79" s="33"/>
      <c r="K79" s="34" t="b">
        <f aca="false">Start!$C$22="Yes"</f>
        <v>1</v>
      </c>
      <c r="L79" s="0" t="str">
        <f aca="false">IF(AND($K79=TRUE(),OR($E79="Not in place",$E79="Partially in place")),COUNTIFS($K$6:$K79,TRUE(),$E$6:$E79,"Not in place")+COUNTIFS($K$6:$K79,TRUE(),$E$6:$E79,"Partially in place"),"")</f>
        <v/>
      </c>
    </row>
  </sheetData>
  <sheetProtection sheet="true" formatCells="false"/>
  <mergeCells count="15">
    <mergeCell ref="A1:J1"/>
    <mergeCell ref="A2:J2"/>
    <mergeCell ref="A5:J5"/>
    <mergeCell ref="A10:J10"/>
    <mergeCell ref="A15:J15"/>
    <mergeCell ref="A21:J21"/>
    <mergeCell ref="A27:J27"/>
    <mergeCell ref="A33:J33"/>
    <mergeCell ref="A38:J38"/>
    <mergeCell ref="A44:J44"/>
    <mergeCell ref="A50:J50"/>
    <mergeCell ref="A56:J56"/>
    <mergeCell ref="A62:J62"/>
    <mergeCell ref="A68:J68"/>
    <mergeCell ref="A74:J74"/>
  </mergeCells>
  <conditionalFormatting sqref="E5:E79">
    <cfRule type="cellIs" priority="2" operator="equal" aboveAverage="0" equalAverage="0" bottom="0" percent="0" rank="0" text="" dxfId="0">
      <formula>"In place"</formula>
    </cfRule>
    <cfRule type="cellIs" priority="3" operator="equal" aboveAverage="0" equalAverage="0" bottom="0" percent="0" rank="0" text="" dxfId="1">
      <formula>"Partially in place"</formula>
    </cfRule>
    <cfRule type="cellIs" priority="4" operator="equal" aboveAverage="0" equalAverage="0" bottom="0" percent="0" rank="0" text="" dxfId="2">
      <formula>"Not in place"</formula>
    </cfRule>
    <cfRule type="cellIs" priority="5" operator="equal" aboveAverage="0" equalAverage="0" bottom="0" percent="0" rank="0" text="" dxfId="3">
      <formula>"Not applicable"</formula>
    </cfRule>
  </conditionalFormatting>
  <conditionalFormatting sqref="A5:J79">
    <cfRule type="expression" priority="6" aboveAverage="0" equalAverage="0" bottom="0" percent="0" rank="0" text="" dxfId="4">
      <formula>AND($K5&lt;&gt;"",$K5=0)</formula>
    </cfRule>
  </conditionalFormatting>
  <dataValidations count="1">
    <dataValidation allowBlank="true" error="Use the dropdown: In place, Partially in place, Not in place, or Not applicable." errorStyle="stop" errorTitle="Choose from the list" operator="between" showDropDown="false" showErrorMessage="true" showInputMessage="false" sqref="E6:E9 E11:E14 E16:E20 E22:E26 E28:E32 E34:E37 E39:E43 E45:E49 E51:E55 E57:E61 E63:E67 E69:E73 E75:E79" type="list">
      <formula1>"In place,Partially in place,Not in place,Not applicable"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9"/>
    <col collapsed="false" customWidth="true" hidden="false" outlineLevel="0" max="3" min="3" style="0" width="34"/>
    <col collapsed="false" customWidth="true" hidden="false" outlineLevel="0" max="6" min="4" style="0" width="11"/>
    <col collapsed="false" customWidth="true" hidden="false" outlineLevel="0" max="8" min="7" style="0" width="10"/>
    <col collapsed="false" customWidth="true" hidden="false" outlineLevel="0" max="9" min="9" style="0" width="11"/>
    <col collapsed="false" customWidth="true" hidden="false" outlineLevel="0" max="10" min="10" style="0" width="18"/>
    <col collapsed="false" customWidth="true" hidden="false" outlineLevel="0" max="11" min="11" style="0" width="3"/>
  </cols>
  <sheetData>
    <row r="1" customFormat="false" ht="30" hidden="false" customHeight="true" outlineLevel="0" collapsed="false">
      <c r="A1" s="1" t="s">
        <v>277</v>
      </c>
      <c r="B1" s="1"/>
      <c r="C1" s="1"/>
      <c r="D1" s="1"/>
      <c r="E1" s="1"/>
      <c r="F1" s="1"/>
      <c r="G1" s="1"/>
      <c r="H1" s="1"/>
      <c r="I1" s="1"/>
      <c r="J1" s="1"/>
    </row>
    <row r="3" customFormat="false" ht="15" hidden="false" customHeight="false" outlineLevel="0" collapsed="false">
      <c r="B3" s="35" t="s">
        <v>278</v>
      </c>
      <c r="C3" s="36" t="n">
        <f aca="false">Start!C7</f>
        <v>0</v>
      </c>
      <c r="E3" s="37" t="s">
        <v>279</v>
      </c>
      <c r="G3" s="37" t="s">
        <v>280</v>
      </c>
    </row>
    <row r="4" customFormat="false" ht="15" hidden="false" customHeight="false" outlineLevel="0" collapsed="false">
      <c r="B4" s="35" t="s">
        <v>281</v>
      </c>
      <c r="C4" s="36" t="n">
        <f aca="false">Start!C8</f>
        <v>0</v>
      </c>
      <c r="E4" s="38" t="str">
        <f aca="false">IF(SUM($H$16:$H$28)=0,"",SUM($G$16:$G$28)/SUM($H$16:$H$28))</f>
        <v/>
      </c>
      <c r="F4" s="38"/>
      <c r="G4" s="39" t="str">
        <f aca="false">IF($E$4="","Not started",IF($E$4&gt;=0.85,"Embedded",IF($E$4&gt;=0.65,"Established",IF($E$4&gt;=0.4,"Developing","Not established"))))</f>
        <v>Not started</v>
      </c>
      <c r="H4" s="39"/>
    </row>
    <row r="5" customFormat="false" ht="15" hidden="false" customHeight="false" outlineLevel="0" collapsed="false">
      <c r="B5" s="35" t="s">
        <v>282</v>
      </c>
      <c r="C5" s="36" t="n">
        <f aca="false">Start!C9</f>
        <v>0</v>
      </c>
      <c r="E5" s="38"/>
      <c r="F5" s="38"/>
    </row>
    <row r="6" customFormat="false" ht="15" hidden="false" customHeight="false" outlineLevel="0" collapsed="false">
      <c r="B6" s="35" t="s">
        <v>9</v>
      </c>
      <c r="C6" s="36" t="n">
        <f aca="false">Start!C10</f>
        <v>0</v>
      </c>
      <c r="E6" s="37" t="s">
        <v>283</v>
      </c>
      <c r="G6" s="37" t="s">
        <v>284</v>
      </c>
    </row>
    <row r="7" customFormat="false" ht="15" hidden="false" customHeight="false" outlineLevel="0" collapsed="false">
      <c r="E7" s="40" t="n">
        <f aca="false">MAX(Assessment!$L:$L)</f>
        <v>0</v>
      </c>
      <c r="G7" s="41" t="str">
        <f aca="false">SUM($E$16:$E$28)&amp;" of "&amp;SUM($F$16:$F$28)&amp;" applicable questions answered"</f>
        <v>0 of 48 applicable questions answered</v>
      </c>
      <c r="H7" s="41"/>
      <c r="I7" s="41"/>
      <c r="J7" s="41"/>
    </row>
    <row r="15" customFormat="false" ht="19.5" hidden="false" customHeight="true" outlineLevel="0" collapsed="false">
      <c r="B15" s="17" t="s">
        <v>62</v>
      </c>
      <c r="C15" s="17" t="s">
        <v>285</v>
      </c>
      <c r="D15" s="18" t="s">
        <v>286</v>
      </c>
      <c r="E15" s="18" t="s">
        <v>287</v>
      </c>
      <c r="F15" s="18" t="s">
        <v>288</v>
      </c>
      <c r="G15" s="18" t="s">
        <v>53</v>
      </c>
      <c r="H15" s="18" t="s">
        <v>289</v>
      </c>
      <c r="I15" s="18" t="s">
        <v>290</v>
      </c>
      <c r="J15" s="18" t="s">
        <v>291</v>
      </c>
    </row>
    <row r="16" customFormat="false" ht="15" hidden="false" customHeight="false" outlineLevel="0" collapsed="false">
      <c r="B16" s="27" t="s">
        <v>71</v>
      </c>
      <c r="C16" s="42" t="s">
        <v>292</v>
      </c>
      <c r="D16" s="20" t="s">
        <v>19</v>
      </c>
      <c r="E16" s="31" t="n">
        <f aca="false">IF($D16="No",0,COUNTIFS(Assessment!$A:$A,$B16,Assessment!$E:$E,"&lt;&gt;"))</f>
        <v>0</v>
      </c>
      <c r="F16" s="31" t="n">
        <f aca="false">IF($D16="No",0,COUNTIFS(Assessment!$A:$A,$B16))</f>
        <v>4</v>
      </c>
      <c r="G16" s="31" t="n">
        <f aca="false">SUMIFS(Assessment!$F:$F,Assessment!$A:$A,$B16)</f>
        <v>0</v>
      </c>
      <c r="H16" s="31" t="n">
        <f aca="false">SUMIFS(Assessment!$G:$G,Assessment!$A:$A,$B16)</f>
        <v>0</v>
      </c>
      <c r="I16" s="43" t="str">
        <f aca="false">IF($H16=0,"",$G16/$H16)</f>
        <v/>
      </c>
      <c r="J16" s="44" t="str">
        <f aca="false">IF($D16="No","Out of scope",IF($I16="","Not scored",IF($I16&gt;=0.85,"Embedded",IF($I16&gt;=0.65,"Established",IF($I16&gt;=0.4,"Developing","Not established")))))</f>
        <v>Not scored</v>
      </c>
    </row>
    <row r="17" customFormat="false" ht="15" hidden="false" customHeight="false" outlineLevel="0" collapsed="false">
      <c r="B17" s="27" t="s">
        <v>85</v>
      </c>
      <c r="C17" s="42" t="s">
        <v>293</v>
      </c>
      <c r="D17" s="20" t="s">
        <v>19</v>
      </c>
      <c r="E17" s="31" t="n">
        <f aca="false">IF($D17="No",0,COUNTIFS(Assessment!$A:$A,$B17,Assessment!$E:$E,"&lt;&gt;"))</f>
        <v>0</v>
      </c>
      <c r="F17" s="31" t="n">
        <f aca="false">IF($D17="No",0,COUNTIFS(Assessment!$A:$A,$B17))</f>
        <v>4</v>
      </c>
      <c r="G17" s="31" t="n">
        <f aca="false">SUMIFS(Assessment!$F:$F,Assessment!$A:$A,$B17)</f>
        <v>0</v>
      </c>
      <c r="H17" s="31" t="n">
        <f aca="false">SUMIFS(Assessment!$G:$G,Assessment!$A:$A,$B17)</f>
        <v>0</v>
      </c>
      <c r="I17" s="43" t="str">
        <f aca="false">IF($H17=0,"",$G17/$H17)</f>
        <v/>
      </c>
      <c r="J17" s="44" t="str">
        <f aca="false">IF($D17="No","Out of scope",IF($I17="","Not scored",IF($I17&gt;=0.85,"Embedded",IF($I17&gt;=0.65,"Established",IF($I17&gt;=0.4,"Developing","Not established")))))</f>
        <v>Not scored</v>
      </c>
    </row>
    <row r="18" customFormat="false" ht="15" hidden="false" customHeight="false" outlineLevel="0" collapsed="false">
      <c r="B18" s="27" t="s">
        <v>99</v>
      </c>
      <c r="C18" s="42" t="s">
        <v>294</v>
      </c>
      <c r="D18" s="20" t="s">
        <v>19</v>
      </c>
      <c r="E18" s="31" t="n">
        <f aca="false">IF($D18="No",0,COUNTIFS(Assessment!$A:$A,$B18,Assessment!$E:$E,"&lt;&gt;"))</f>
        <v>0</v>
      </c>
      <c r="F18" s="31" t="n">
        <f aca="false">IF($D18="No",0,COUNTIFS(Assessment!$A:$A,$B18))</f>
        <v>5</v>
      </c>
      <c r="G18" s="31" t="n">
        <f aca="false">SUMIFS(Assessment!$F:$F,Assessment!$A:$A,$B18)</f>
        <v>0</v>
      </c>
      <c r="H18" s="31" t="n">
        <f aca="false">SUMIFS(Assessment!$G:$G,Assessment!$A:$A,$B18)</f>
        <v>0</v>
      </c>
      <c r="I18" s="43" t="str">
        <f aca="false">IF($H18=0,"",$G18/$H18)</f>
        <v/>
      </c>
      <c r="J18" s="44" t="str">
        <f aca="false">IF($D18="No","Out of scope",IF($I18="","Not scored",IF($I18&gt;=0.85,"Embedded",IF($I18&gt;=0.65,"Established",IF($I18&gt;=0.4,"Developing","Not established")))))</f>
        <v>Not scored</v>
      </c>
    </row>
    <row r="19" customFormat="false" ht="15" hidden="false" customHeight="false" outlineLevel="0" collapsed="false">
      <c r="B19" s="27" t="s">
        <v>116</v>
      </c>
      <c r="C19" s="42" t="s">
        <v>295</v>
      </c>
      <c r="D19" s="20" t="s">
        <v>19</v>
      </c>
      <c r="E19" s="31" t="n">
        <f aca="false">IF($D19="No",0,COUNTIFS(Assessment!$A:$A,$B19,Assessment!$E:$E,"&lt;&gt;"))</f>
        <v>0</v>
      </c>
      <c r="F19" s="31" t="n">
        <f aca="false">IF($D19="No",0,COUNTIFS(Assessment!$A:$A,$B19))</f>
        <v>5</v>
      </c>
      <c r="G19" s="31" t="n">
        <f aca="false">SUMIFS(Assessment!$F:$F,Assessment!$A:$A,$B19)</f>
        <v>0</v>
      </c>
      <c r="H19" s="31" t="n">
        <f aca="false">SUMIFS(Assessment!$G:$G,Assessment!$A:$A,$B19)</f>
        <v>0</v>
      </c>
      <c r="I19" s="43" t="str">
        <f aca="false">IF($H19=0,"",$G19/$H19)</f>
        <v/>
      </c>
      <c r="J19" s="44" t="str">
        <f aca="false">IF($D19="No","Out of scope",IF($I19="","Not scored",IF($I19&gt;=0.85,"Embedded",IF($I19&gt;=0.65,"Established",IF($I19&gt;=0.4,"Developing","Not established")))))</f>
        <v>Not scored</v>
      </c>
    </row>
    <row r="20" customFormat="false" ht="15" hidden="false" customHeight="false" outlineLevel="0" collapsed="false">
      <c r="B20" s="27" t="s">
        <v>132</v>
      </c>
      <c r="C20" s="42" t="s">
        <v>296</v>
      </c>
      <c r="D20" s="20" t="str">
        <f aca="false">IF(Start!$C$18="Yes","Yes","No")</f>
        <v>Yes</v>
      </c>
      <c r="E20" s="31" t="n">
        <f aca="false">IF($D20="No",0,COUNTIFS(Assessment!$A:$A,$B20,Assessment!$E:$E,"&lt;&gt;"))</f>
        <v>0</v>
      </c>
      <c r="F20" s="31" t="n">
        <f aca="false">IF($D20="No",0,COUNTIFS(Assessment!$A:$A,$B20))</f>
        <v>5</v>
      </c>
      <c r="G20" s="31" t="n">
        <f aca="false">SUMIFS(Assessment!$F:$F,Assessment!$A:$A,$B20)</f>
        <v>0</v>
      </c>
      <c r="H20" s="31" t="n">
        <f aca="false">SUMIFS(Assessment!$G:$G,Assessment!$A:$A,$B20)</f>
        <v>0</v>
      </c>
      <c r="I20" s="43" t="str">
        <f aca="false">IF($H20=0,"",$G20/$H20)</f>
        <v/>
      </c>
      <c r="J20" s="44" t="str">
        <f aca="false">IF($D20="No","Out of scope",IF($I20="","Not scored",IF($I20&gt;=0.85,"Embedded",IF($I20&gt;=0.65,"Established",IF($I20&gt;=0.4,"Developing","Not established")))))</f>
        <v>Not scored</v>
      </c>
    </row>
    <row r="21" customFormat="false" ht="15" hidden="false" customHeight="false" outlineLevel="0" collapsed="false">
      <c r="B21" s="27" t="s">
        <v>148</v>
      </c>
      <c r="C21" s="42" t="s">
        <v>297</v>
      </c>
      <c r="D21" s="20" t="str">
        <f aca="false">IF(Start!$C$19="Yes","Yes","No")</f>
        <v>No</v>
      </c>
      <c r="E21" s="31" t="n">
        <f aca="false">IF($D21="No",0,COUNTIFS(Assessment!$A:$A,$B21,Assessment!$E:$E,"&lt;&gt;"))</f>
        <v>0</v>
      </c>
      <c r="F21" s="31" t="n">
        <f aca="false">IF($D21="No",0,COUNTIFS(Assessment!$A:$A,$B21))</f>
        <v>0</v>
      </c>
      <c r="G21" s="31" t="n">
        <f aca="false">SUMIFS(Assessment!$F:$F,Assessment!$A:$A,$B21)</f>
        <v>0</v>
      </c>
      <c r="H21" s="31" t="n">
        <f aca="false">SUMIFS(Assessment!$G:$G,Assessment!$A:$A,$B21)</f>
        <v>0</v>
      </c>
      <c r="I21" s="43" t="str">
        <f aca="false">IF($H21=0,"",$G21/$H21)</f>
        <v/>
      </c>
      <c r="J21" s="44" t="str">
        <f aca="false">IF($D21="No","Out of scope",IF($I21="","Not scored",IF($I21&gt;=0.85,"Embedded",IF($I21&gt;=0.65,"Established",IF($I21&gt;=0.4,"Developing","Not established")))))</f>
        <v>Out of scope</v>
      </c>
    </row>
    <row r="22" customFormat="false" ht="15" hidden="false" customHeight="false" outlineLevel="0" collapsed="false">
      <c r="B22" s="27" t="s">
        <v>161</v>
      </c>
      <c r="C22" s="42" t="s">
        <v>298</v>
      </c>
      <c r="D22" s="20" t="str">
        <f aca="false">IF(Start!$C$20="Yes","Yes","No")</f>
        <v>No</v>
      </c>
      <c r="E22" s="31" t="n">
        <f aca="false">IF($D22="No",0,COUNTIFS(Assessment!$A:$A,$B22,Assessment!$E:$E,"&lt;&gt;"))</f>
        <v>0</v>
      </c>
      <c r="F22" s="31" t="n">
        <f aca="false">IF($D22="No",0,COUNTIFS(Assessment!$A:$A,$B22))</f>
        <v>0</v>
      </c>
      <c r="G22" s="31" t="n">
        <f aca="false">SUMIFS(Assessment!$F:$F,Assessment!$A:$A,$B22)</f>
        <v>0</v>
      </c>
      <c r="H22" s="31" t="n">
        <f aca="false">SUMIFS(Assessment!$G:$G,Assessment!$A:$A,$B22)</f>
        <v>0</v>
      </c>
      <c r="I22" s="43" t="str">
        <f aca="false">IF($H22=0,"",$G22/$H22)</f>
        <v/>
      </c>
      <c r="J22" s="44" t="str">
        <f aca="false">IF($D22="No","Out of scope",IF($I22="","Not scored",IF($I22&gt;=0.85,"Embedded",IF($I22&gt;=0.65,"Established",IF($I22&gt;=0.4,"Developing","Not established")))))</f>
        <v>Out of scope</v>
      </c>
    </row>
    <row r="23" customFormat="false" ht="15" hidden="false" customHeight="false" outlineLevel="0" collapsed="false">
      <c r="B23" s="27" t="s">
        <v>177</v>
      </c>
      <c r="C23" s="42" t="s">
        <v>299</v>
      </c>
      <c r="D23" s="20" t="str">
        <f aca="false">IF(Start!$C$21="Yes","Yes","No")</f>
        <v>No</v>
      </c>
      <c r="E23" s="31" t="n">
        <f aca="false">IF($D23="No",0,COUNTIFS(Assessment!$A:$A,$B23,Assessment!$E:$E,"&lt;&gt;"))</f>
        <v>0</v>
      </c>
      <c r="F23" s="31" t="n">
        <f aca="false">IF($D23="No",0,COUNTIFS(Assessment!$A:$A,$B23))</f>
        <v>0</v>
      </c>
      <c r="G23" s="31" t="n">
        <f aca="false">SUMIFS(Assessment!$F:$F,Assessment!$A:$A,$B23)</f>
        <v>0</v>
      </c>
      <c r="H23" s="31" t="n">
        <f aca="false">SUMIFS(Assessment!$G:$G,Assessment!$A:$A,$B23)</f>
        <v>0</v>
      </c>
      <c r="I23" s="43" t="str">
        <f aca="false">IF($H23=0,"",$G23/$H23)</f>
        <v/>
      </c>
      <c r="J23" s="44" t="str">
        <f aca="false">IF($D23="No","Out of scope",IF($I23="","Not scored",IF($I23&gt;=0.85,"Embedded",IF($I23&gt;=0.65,"Established",IF($I23&gt;=0.4,"Developing","Not established")))))</f>
        <v>Out of scope</v>
      </c>
    </row>
    <row r="24" customFormat="false" ht="15" hidden="false" customHeight="false" outlineLevel="0" collapsed="false">
      <c r="B24" s="27" t="s">
        <v>194</v>
      </c>
      <c r="C24" s="42" t="s">
        <v>300</v>
      </c>
      <c r="D24" s="20" t="s">
        <v>19</v>
      </c>
      <c r="E24" s="31" t="n">
        <f aca="false">IF($D24="No",0,COUNTIFS(Assessment!$A:$A,$B24,Assessment!$E:$E,"&lt;&gt;"))</f>
        <v>0</v>
      </c>
      <c r="F24" s="31" t="n">
        <f aca="false">IF($D24="No",0,COUNTIFS(Assessment!$A:$A,$B24))</f>
        <v>5</v>
      </c>
      <c r="G24" s="31" t="n">
        <f aca="false">SUMIFS(Assessment!$F:$F,Assessment!$A:$A,$B24)</f>
        <v>0</v>
      </c>
      <c r="H24" s="31" t="n">
        <f aca="false">SUMIFS(Assessment!$G:$G,Assessment!$A:$A,$B24)</f>
        <v>0</v>
      </c>
      <c r="I24" s="43" t="str">
        <f aca="false">IF($H24=0,"",$G24/$H24)</f>
        <v/>
      </c>
      <c r="J24" s="44" t="str">
        <f aca="false">IF($D24="No","Out of scope",IF($I24="","Not scored",IF($I24&gt;=0.85,"Embedded",IF($I24&gt;=0.65,"Established",IF($I24&gt;=0.4,"Developing","Not established")))))</f>
        <v>Not scored</v>
      </c>
    </row>
    <row r="25" customFormat="false" ht="15" hidden="false" customHeight="false" outlineLevel="0" collapsed="false">
      <c r="B25" s="27" t="s">
        <v>211</v>
      </c>
      <c r="C25" s="42" t="s">
        <v>301</v>
      </c>
      <c r="D25" s="20" t="s">
        <v>19</v>
      </c>
      <c r="E25" s="31" t="n">
        <f aca="false">IF($D25="No",0,COUNTIFS(Assessment!$A:$A,$B25,Assessment!$E:$E,"&lt;&gt;"))</f>
        <v>0</v>
      </c>
      <c r="F25" s="31" t="n">
        <f aca="false">IF($D25="No",0,COUNTIFS(Assessment!$A:$A,$B25))</f>
        <v>5</v>
      </c>
      <c r="G25" s="31" t="n">
        <f aca="false">SUMIFS(Assessment!$F:$F,Assessment!$A:$A,$B25)</f>
        <v>0</v>
      </c>
      <c r="H25" s="31" t="n">
        <f aca="false">SUMIFS(Assessment!$G:$G,Assessment!$A:$A,$B25)</f>
        <v>0</v>
      </c>
      <c r="I25" s="43" t="str">
        <f aca="false">IF($H25=0,"",$G25/$H25)</f>
        <v/>
      </c>
      <c r="J25" s="44" t="str">
        <f aca="false">IF($D25="No","Out of scope",IF($I25="","Not scored",IF($I25&gt;=0.85,"Embedded",IF($I25&gt;=0.65,"Established",IF($I25&gt;=0.4,"Developing","Not established")))))</f>
        <v>Not scored</v>
      </c>
    </row>
    <row r="26" customFormat="false" ht="15" hidden="false" customHeight="false" outlineLevel="0" collapsed="false">
      <c r="B26" s="27" t="s">
        <v>228</v>
      </c>
      <c r="C26" s="42" t="s">
        <v>302</v>
      </c>
      <c r="D26" s="20" t="s">
        <v>19</v>
      </c>
      <c r="E26" s="31" t="n">
        <f aca="false">IF($D26="No",0,COUNTIFS(Assessment!$A:$A,$B26,Assessment!$E:$E,"&lt;&gt;"))</f>
        <v>0</v>
      </c>
      <c r="F26" s="31" t="n">
        <f aca="false">IF($D26="No",0,COUNTIFS(Assessment!$A:$A,$B26))</f>
        <v>5</v>
      </c>
      <c r="G26" s="31" t="n">
        <f aca="false">SUMIFS(Assessment!$F:$F,Assessment!$A:$A,$B26)</f>
        <v>0</v>
      </c>
      <c r="H26" s="31" t="n">
        <f aca="false">SUMIFS(Assessment!$G:$G,Assessment!$A:$A,$B26)</f>
        <v>0</v>
      </c>
      <c r="I26" s="43" t="str">
        <f aca="false">IF($H26=0,"",$G26/$H26)</f>
        <v/>
      </c>
      <c r="J26" s="44" t="str">
        <f aca="false">IF($D26="No","Out of scope",IF($I26="","Not scored",IF($I26&gt;=0.85,"Embedded",IF($I26&gt;=0.65,"Established",IF($I26&gt;=0.4,"Developing","Not established")))))</f>
        <v>Not scored</v>
      </c>
    </row>
    <row r="27" customFormat="false" ht="15" hidden="false" customHeight="false" outlineLevel="0" collapsed="false">
      <c r="B27" s="27" t="s">
        <v>245</v>
      </c>
      <c r="C27" s="42" t="s">
        <v>303</v>
      </c>
      <c r="D27" s="20" t="s">
        <v>19</v>
      </c>
      <c r="E27" s="31" t="n">
        <f aca="false">IF($D27="No",0,COUNTIFS(Assessment!$A:$A,$B27,Assessment!$E:$E,"&lt;&gt;"))</f>
        <v>0</v>
      </c>
      <c r="F27" s="31" t="n">
        <f aca="false">IF($D27="No",0,COUNTIFS(Assessment!$A:$A,$B27))</f>
        <v>5</v>
      </c>
      <c r="G27" s="31" t="n">
        <f aca="false">SUMIFS(Assessment!$F:$F,Assessment!$A:$A,$B27)</f>
        <v>0</v>
      </c>
      <c r="H27" s="31" t="n">
        <f aca="false">SUMIFS(Assessment!$G:$G,Assessment!$A:$A,$B27)</f>
        <v>0</v>
      </c>
      <c r="I27" s="43" t="str">
        <f aca="false">IF($H27=0,"",$G27/$H27)</f>
        <v/>
      </c>
      <c r="J27" s="44" t="str">
        <f aca="false">IF($D27="No","Out of scope",IF($I27="","Not scored",IF($I27&gt;=0.85,"Embedded",IF($I27&gt;=0.65,"Established",IF($I27&gt;=0.4,"Developing","Not established")))))</f>
        <v>Not scored</v>
      </c>
    </row>
    <row r="28" customFormat="false" ht="15" hidden="false" customHeight="false" outlineLevel="0" collapsed="false">
      <c r="B28" s="27" t="s">
        <v>261</v>
      </c>
      <c r="C28" s="42" t="s">
        <v>304</v>
      </c>
      <c r="D28" s="20" t="str">
        <f aca="false">IF(Start!$C$22="Yes","Yes","No")</f>
        <v>Yes</v>
      </c>
      <c r="E28" s="31" t="n">
        <f aca="false">IF($D28="No",0,COUNTIFS(Assessment!$A:$A,$B28,Assessment!$E:$E,"&lt;&gt;"))</f>
        <v>0</v>
      </c>
      <c r="F28" s="31" t="n">
        <f aca="false">IF($D28="No",0,COUNTIFS(Assessment!$A:$A,$B28))</f>
        <v>5</v>
      </c>
      <c r="G28" s="31" t="n">
        <f aca="false">SUMIFS(Assessment!$F:$F,Assessment!$A:$A,$B28)</f>
        <v>0</v>
      </c>
      <c r="H28" s="31" t="n">
        <f aca="false">SUMIFS(Assessment!$G:$G,Assessment!$A:$A,$B28)</f>
        <v>0</v>
      </c>
      <c r="I28" s="43" t="str">
        <f aca="false">IF($H28=0,"",$G28/$H28)</f>
        <v/>
      </c>
      <c r="J28" s="44" t="str">
        <f aca="false">IF($D28="No","Out of scope",IF($I28="","Not scored",IF($I28&gt;=0.85,"Embedded",IF($I28&gt;=0.65,"Established",IF($I28&gt;=0.4,"Developing","Not established")))))</f>
        <v>Not scored</v>
      </c>
    </row>
    <row r="29" customFormat="false" ht="15" hidden="false" customHeight="false" outlineLevel="0" collapsed="false">
      <c r="B29" s="45"/>
      <c r="C29" s="46" t="s">
        <v>305</v>
      </c>
      <c r="D29" s="45"/>
      <c r="E29" s="47" t="n">
        <f aca="false">SUM($E$16:$E$28)</f>
        <v>0</v>
      </c>
      <c r="F29" s="47" t="n">
        <f aca="false">SUM($F$16:$F$28)</f>
        <v>48</v>
      </c>
      <c r="G29" s="47" t="n">
        <f aca="false">SUM($G$16:$G$28)</f>
        <v>0</v>
      </c>
      <c r="H29" s="47" t="n">
        <f aca="false">SUM($H$16:$H$28)</f>
        <v>0</v>
      </c>
      <c r="I29" s="48" t="str">
        <f aca="false">IF($H29=0,"",$G29/$H29)</f>
        <v/>
      </c>
      <c r="J29" s="49" t="str">
        <f aca="false">$G$4</f>
        <v>Not started</v>
      </c>
    </row>
    <row r="30" customFormat="false" ht="15" hidden="false" customHeight="false" outlineLevel="0" collapsed="false">
      <c r="B30" s="50" t="s">
        <v>306</v>
      </c>
      <c r="C30" s="50"/>
      <c r="D30" s="50"/>
      <c r="E30" s="50"/>
      <c r="F30" s="50"/>
      <c r="G30" s="50"/>
      <c r="H30" s="50"/>
      <c r="I30" s="50"/>
      <c r="J30" s="50"/>
    </row>
  </sheetData>
  <sheetProtection sheet="true" formatCells="false"/>
  <mergeCells count="5">
    <mergeCell ref="A1:J1"/>
    <mergeCell ref="E4:F5"/>
    <mergeCell ref="G4:H4"/>
    <mergeCell ref="G7:J7"/>
    <mergeCell ref="B30:J30"/>
  </mergeCells>
  <conditionalFormatting sqref="I16:I28">
    <cfRule type="dataBar" priority="2">
      <dataBar showValue="1" minLength="10" maxLength="90">
        <cfvo type="num" val="0"/>
        <cfvo type="num" val="1"/>
        <color rgb="FF800020"/>
      </dataBar>
      <extLst>
        <ext xmlns:x14="http://schemas.microsoft.com/office/spreadsheetml/2009/9/main" uri="{B025F937-C7B1-47D3-B67F-A62EFF666E3E}">
          <x14:id>{5057C77E-E41A-4D00-B650-CD95FC2AB2A1}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057C77E-E41A-4D00-B650-CD95FC2AB2A1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800020"/>
              <x14:axisColor rgb="FF000000"/>
            </x14:dataBar>
          </x14:cfRule>
          <xm:sqref>I16:I28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6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8"/>
    <col collapsed="false" customWidth="true" hidden="false" outlineLevel="0" max="3" min="3" style="0" width="19"/>
    <col collapsed="false" customWidth="true" hidden="false" outlineLevel="0" max="4" min="4" style="0" width="58"/>
    <col collapsed="false" customWidth="true" hidden="false" outlineLevel="0" max="5" min="5" style="0" width="62"/>
    <col collapsed="false" customWidth="true" hidden="false" outlineLevel="0" max="6" min="6" style="0" width="40"/>
    <col collapsed="false" customWidth="true" hidden="false" outlineLevel="0" max="7" min="7" style="0" width="20"/>
    <col collapsed="false" customWidth="true" hidden="false" outlineLevel="0" max="8" min="8" style="0" width="14"/>
    <col collapsed="false" customWidth="true" hidden="true" outlineLevel="0" max="9" min="9" style="0" width="8"/>
  </cols>
  <sheetData>
    <row r="1" customFormat="false" ht="30" hidden="false" customHeight="true" outlineLevel="0" collapsed="false">
      <c r="A1" s="1" t="s">
        <v>307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3" t="s">
        <v>308</v>
      </c>
      <c r="B2" s="23"/>
      <c r="C2" s="23"/>
      <c r="D2" s="23"/>
      <c r="E2" s="23"/>
      <c r="F2" s="23"/>
      <c r="G2" s="23"/>
      <c r="H2" s="23"/>
    </row>
    <row r="4" customFormat="false" ht="24" hidden="false" customHeight="true" outlineLevel="0" collapsed="false">
      <c r="A4" s="24" t="s">
        <v>62</v>
      </c>
      <c r="B4" s="24" t="s">
        <v>63</v>
      </c>
      <c r="C4" s="24" t="s">
        <v>52</v>
      </c>
      <c r="D4" s="25" t="s">
        <v>51</v>
      </c>
      <c r="E4" s="25" t="s">
        <v>64</v>
      </c>
      <c r="F4" s="25" t="s">
        <v>54</v>
      </c>
      <c r="G4" s="25" t="s">
        <v>66</v>
      </c>
      <c r="H4" s="24" t="s">
        <v>67</v>
      </c>
      <c r="I4" s="25" t="s">
        <v>309</v>
      </c>
    </row>
    <row r="5" customFormat="false" ht="45.75" hidden="false" customHeight="true" outlineLevel="0" collapsed="false">
      <c r="A5" s="51" t="str">
        <f aca="false">IF($I5="","",IF(INDEX(Assessment!$A:$A,$I5)="","",INDEX(Assessment!$A:$A,$I5)))</f>
        <v/>
      </c>
      <c r="B5" s="51" t="str">
        <f aca="false">IF($I5="","",IF(INDEX(Assessment!$B:$B,$I5)="","",INDEX(Assessment!$B:$B,$I5)))</f>
        <v/>
      </c>
      <c r="C5" s="52" t="str">
        <f aca="false">IF($I5="","",IF(INDEX(Assessment!$E:$E,$I5)="","",INDEX(Assessment!$E:$E,$I5)))</f>
        <v/>
      </c>
      <c r="D5" s="29" t="str">
        <f aca="false">IF($I5="","",IF(INDEX(Assessment!$C:$C,$I5)="","",INDEX(Assessment!$C:$C,$I5)))</f>
        <v/>
      </c>
      <c r="E5" s="15" t="str">
        <f aca="false">IF($I5="","",IF(INDEX(Assessment!$D:$D,$I5)="","",INDEX(Assessment!$D:$D,$I5)))</f>
        <v/>
      </c>
      <c r="F5" s="12" t="str">
        <f aca="false">IF($I5="","",IF(INDEX(Assessment!$H:$H,$I5)="","",INDEX(Assessment!$H:$H,$I5)))</f>
        <v/>
      </c>
      <c r="G5" s="53" t="str">
        <f aca="false">IF($I5="","",IF(INDEX(Assessment!$I:$I,$I5)="","",INDEX(Assessment!$I:$I,$I5)))</f>
        <v/>
      </c>
      <c r="H5" s="54" t="str">
        <f aca="false">IF($I5="","",IF(INDEX(Assessment!$J:$J,$I5)="","",INDEX(Assessment!$J:$J,$I5)))</f>
        <v/>
      </c>
      <c r="I5" s="0" t="str">
        <f aca="false">IFERROR(MATCH(ROW()-4,Assessment!$L:$L,0),"")</f>
        <v/>
      </c>
    </row>
    <row r="6" customFormat="false" ht="45.75" hidden="false" customHeight="true" outlineLevel="0" collapsed="false">
      <c r="A6" s="51" t="str">
        <f aca="false">IF($I6="","",IF(INDEX(Assessment!$A:$A,$I6)="","",INDEX(Assessment!$A:$A,$I6)))</f>
        <v/>
      </c>
      <c r="B6" s="51" t="str">
        <f aca="false">IF($I6="","",IF(INDEX(Assessment!$B:$B,$I6)="","",INDEX(Assessment!$B:$B,$I6)))</f>
        <v/>
      </c>
      <c r="C6" s="52" t="str">
        <f aca="false">IF($I6="","",IF(INDEX(Assessment!$E:$E,$I6)="","",INDEX(Assessment!$E:$E,$I6)))</f>
        <v/>
      </c>
      <c r="D6" s="29" t="str">
        <f aca="false">IF($I6="","",IF(INDEX(Assessment!$C:$C,$I6)="","",INDEX(Assessment!$C:$C,$I6)))</f>
        <v/>
      </c>
      <c r="E6" s="15" t="str">
        <f aca="false">IF($I6="","",IF(INDEX(Assessment!$D:$D,$I6)="","",INDEX(Assessment!$D:$D,$I6)))</f>
        <v/>
      </c>
      <c r="F6" s="12" t="str">
        <f aca="false">IF($I6="","",IF(INDEX(Assessment!$H:$H,$I6)="","",INDEX(Assessment!$H:$H,$I6)))</f>
        <v/>
      </c>
      <c r="G6" s="53" t="str">
        <f aca="false">IF($I6="","",IF(INDEX(Assessment!$I:$I,$I6)="","",INDEX(Assessment!$I:$I,$I6)))</f>
        <v/>
      </c>
      <c r="H6" s="54" t="str">
        <f aca="false">IF($I6="","",IF(INDEX(Assessment!$J:$J,$I6)="","",INDEX(Assessment!$J:$J,$I6)))</f>
        <v/>
      </c>
      <c r="I6" s="0" t="str">
        <f aca="false">IFERROR(MATCH(ROW()-4,Assessment!$L:$L,0),"")</f>
        <v/>
      </c>
    </row>
    <row r="7" customFormat="false" ht="45.75" hidden="false" customHeight="true" outlineLevel="0" collapsed="false">
      <c r="A7" s="51" t="str">
        <f aca="false">IF($I7="","",IF(INDEX(Assessment!$A:$A,$I7)="","",INDEX(Assessment!$A:$A,$I7)))</f>
        <v/>
      </c>
      <c r="B7" s="51" t="str">
        <f aca="false">IF($I7="","",IF(INDEX(Assessment!$B:$B,$I7)="","",INDEX(Assessment!$B:$B,$I7)))</f>
        <v/>
      </c>
      <c r="C7" s="52" t="str">
        <f aca="false">IF($I7="","",IF(INDEX(Assessment!$E:$E,$I7)="","",INDEX(Assessment!$E:$E,$I7)))</f>
        <v/>
      </c>
      <c r="D7" s="29" t="str">
        <f aca="false">IF($I7="","",IF(INDEX(Assessment!$C:$C,$I7)="","",INDEX(Assessment!$C:$C,$I7)))</f>
        <v/>
      </c>
      <c r="E7" s="15" t="str">
        <f aca="false">IF($I7="","",IF(INDEX(Assessment!$D:$D,$I7)="","",INDEX(Assessment!$D:$D,$I7)))</f>
        <v/>
      </c>
      <c r="F7" s="12" t="str">
        <f aca="false">IF($I7="","",IF(INDEX(Assessment!$H:$H,$I7)="","",INDEX(Assessment!$H:$H,$I7)))</f>
        <v/>
      </c>
      <c r="G7" s="53" t="str">
        <f aca="false">IF($I7="","",IF(INDEX(Assessment!$I:$I,$I7)="","",INDEX(Assessment!$I:$I,$I7)))</f>
        <v/>
      </c>
      <c r="H7" s="54" t="str">
        <f aca="false">IF($I7="","",IF(INDEX(Assessment!$J:$J,$I7)="","",INDEX(Assessment!$J:$J,$I7)))</f>
        <v/>
      </c>
      <c r="I7" s="0" t="str">
        <f aca="false">IFERROR(MATCH(ROW()-4,Assessment!$L:$L,0),"")</f>
        <v/>
      </c>
    </row>
    <row r="8" customFormat="false" ht="45.75" hidden="false" customHeight="true" outlineLevel="0" collapsed="false">
      <c r="A8" s="51" t="str">
        <f aca="false">IF($I8="","",IF(INDEX(Assessment!$A:$A,$I8)="","",INDEX(Assessment!$A:$A,$I8)))</f>
        <v/>
      </c>
      <c r="B8" s="51" t="str">
        <f aca="false">IF($I8="","",IF(INDEX(Assessment!$B:$B,$I8)="","",INDEX(Assessment!$B:$B,$I8)))</f>
        <v/>
      </c>
      <c r="C8" s="52" t="str">
        <f aca="false">IF($I8="","",IF(INDEX(Assessment!$E:$E,$I8)="","",INDEX(Assessment!$E:$E,$I8)))</f>
        <v/>
      </c>
      <c r="D8" s="29" t="str">
        <f aca="false">IF($I8="","",IF(INDEX(Assessment!$C:$C,$I8)="","",INDEX(Assessment!$C:$C,$I8)))</f>
        <v/>
      </c>
      <c r="E8" s="15" t="str">
        <f aca="false">IF($I8="","",IF(INDEX(Assessment!$D:$D,$I8)="","",INDEX(Assessment!$D:$D,$I8)))</f>
        <v/>
      </c>
      <c r="F8" s="12" t="str">
        <f aca="false">IF($I8="","",IF(INDEX(Assessment!$H:$H,$I8)="","",INDEX(Assessment!$H:$H,$I8)))</f>
        <v/>
      </c>
      <c r="G8" s="53" t="str">
        <f aca="false">IF($I8="","",IF(INDEX(Assessment!$I:$I,$I8)="","",INDEX(Assessment!$I:$I,$I8)))</f>
        <v/>
      </c>
      <c r="H8" s="54" t="str">
        <f aca="false">IF($I8="","",IF(INDEX(Assessment!$J:$J,$I8)="","",INDEX(Assessment!$J:$J,$I8)))</f>
        <v/>
      </c>
      <c r="I8" s="0" t="str">
        <f aca="false">IFERROR(MATCH(ROW()-4,Assessment!$L:$L,0),"")</f>
        <v/>
      </c>
    </row>
    <row r="9" customFormat="false" ht="45.75" hidden="false" customHeight="true" outlineLevel="0" collapsed="false">
      <c r="A9" s="51" t="str">
        <f aca="false">IF($I9="","",IF(INDEX(Assessment!$A:$A,$I9)="","",INDEX(Assessment!$A:$A,$I9)))</f>
        <v/>
      </c>
      <c r="B9" s="51" t="str">
        <f aca="false">IF($I9="","",IF(INDEX(Assessment!$B:$B,$I9)="","",INDEX(Assessment!$B:$B,$I9)))</f>
        <v/>
      </c>
      <c r="C9" s="52" t="str">
        <f aca="false">IF($I9="","",IF(INDEX(Assessment!$E:$E,$I9)="","",INDEX(Assessment!$E:$E,$I9)))</f>
        <v/>
      </c>
      <c r="D9" s="29" t="str">
        <f aca="false">IF($I9="","",IF(INDEX(Assessment!$C:$C,$I9)="","",INDEX(Assessment!$C:$C,$I9)))</f>
        <v/>
      </c>
      <c r="E9" s="15" t="str">
        <f aca="false">IF($I9="","",IF(INDEX(Assessment!$D:$D,$I9)="","",INDEX(Assessment!$D:$D,$I9)))</f>
        <v/>
      </c>
      <c r="F9" s="12" t="str">
        <f aca="false">IF($I9="","",IF(INDEX(Assessment!$H:$H,$I9)="","",INDEX(Assessment!$H:$H,$I9)))</f>
        <v/>
      </c>
      <c r="G9" s="53" t="str">
        <f aca="false">IF($I9="","",IF(INDEX(Assessment!$I:$I,$I9)="","",INDEX(Assessment!$I:$I,$I9)))</f>
        <v/>
      </c>
      <c r="H9" s="54" t="str">
        <f aca="false">IF($I9="","",IF(INDEX(Assessment!$J:$J,$I9)="","",INDEX(Assessment!$J:$J,$I9)))</f>
        <v/>
      </c>
      <c r="I9" s="0" t="str">
        <f aca="false">IFERROR(MATCH(ROW()-4,Assessment!$L:$L,0),"")</f>
        <v/>
      </c>
    </row>
    <row r="10" customFormat="false" ht="45.75" hidden="false" customHeight="true" outlineLevel="0" collapsed="false">
      <c r="A10" s="51" t="str">
        <f aca="false">IF($I10="","",IF(INDEX(Assessment!$A:$A,$I10)="","",INDEX(Assessment!$A:$A,$I10)))</f>
        <v/>
      </c>
      <c r="B10" s="51" t="str">
        <f aca="false">IF($I10="","",IF(INDEX(Assessment!$B:$B,$I10)="","",INDEX(Assessment!$B:$B,$I10)))</f>
        <v/>
      </c>
      <c r="C10" s="52" t="str">
        <f aca="false">IF($I10="","",IF(INDEX(Assessment!$E:$E,$I10)="","",INDEX(Assessment!$E:$E,$I10)))</f>
        <v/>
      </c>
      <c r="D10" s="29" t="str">
        <f aca="false">IF($I10="","",IF(INDEX(Assessment!$C:$C,$I10)="","",INDEX(Assessment!$C:$C,$I10)))</f>
        <v/>
      </c>
      <c r="E10" s="15" t="str">
        <f aca="false">IF($I10="","",IF(INDEX(Assessment!$D:$D,$I10)="","",INDEX(Assessment!$D:$D,$I10)))</f>
        <v/>
      </c>
      <c r="F10" s="12" t="str">
        <f aca="false">IF($I10="","",IF(INDEX(Assessment!$H:$H,$I10)="","",INDEX(Assessment!$H:$H,$I10)))</f>
        <v/>
      </c>
      <c r="G10" s="53" t="str">
        <f aca="false">IF($I10="","",IF(INDEX(Assessment!$I:$I,$I10)="","",INDEX(Assessment!$I:$I,$I10)))</f>
        <v/>
      </c>
      <c r="H10" s="54" t="str">
        <f aca="false">IF($I10="","",IF(INDEX(Assessment!$J:$J,$I10)="","",INDEX(Assessment!$J:$J,$I10)))</f>
        <v/>
      </c>
      <c r="I10" s="0" t="str">
        <f aca="false">IFERROR(MATCH(ROW()-4,Assessment!$L:$L,0),"")</f>
        <v/>
      </c>
    </row>
    <row r="11" customFormat="false" ht="45.75" hidden="false" customHeight="true" outlineLevel="0" collapsed="false">
      <c r="A11" s="51" t="str">
        <f aca="false">IF($I11="","",IF(INDEX(Assessment!$A:$A,$I11)="","",INDEX(Assessment!$A:$A,$I11)))</f>
        <v/>
      </c>
      <c r="B11" s="51" t="str">
        <f aca="false">IF($I11="","",IF(INDEX(Assessment!$B:$B,$I11)="","",INDEX(Assessment!$B:$B,$I11)))</f>
        <v/>
      </c>
      <c r="C11" s="52" t="str">
        <f aca="false">IF($I11="","",IF(INDEX(Assessment!$E:$E,$I11)="","",INDEX(Assessment!$E:$E,$I11)))</f>
        <v/>
      </c>
      <c r="D11" s="29" t="str">
        <f aca="false">IF($I11="","",IF(INDEX(Assessment!$C:$C,$I11)="","",INDEX(Assessment!$C:$C,$I11)))</f>
        <v/>
      </c>
      <c r="E11" s="15" t="str">
        <f aca="false">IF($I11="","",IF(INDEX(Assessment!$D:$D,$I11)="","",INDEX(Assessment!$D:$D,$I11)))</f>
        <v/>
      </c>
      <c r="F11" s="12" t="str">
        <f aca="false">IF($I11="","",IF(INDEX(Assessment!$H:$H,$I11)="","",INDEX(Assessment!$H:$H,$I11)))</f>
        <v/>
      </c>
      <c r="G11" s="53" t="str">
        <f aca="false">IF($I11="","",IF(INDEX(Assessment!$I:$I,$I11)="","",INDEX(Assessment!$I:$I,$I11)))</f>
        <v/>
      </c>
      <c r="H11" s="54" t="str">
        <f aca="false">IF($I11="","",IF(INDEX(Assessment!$J:$J,$I11)="","",INDEX(Assessment!$J:$J,$I11)))</f>
        <v/>
      </c>
      <c r="I11" s="0" t="str">
        <f aca="false">IFERROR(MATCH(ROW()-4,Assessment!$L:$L,0),"")</f>
        <v/>
      </c>
    </row>
    <row r="12" customFormat="false" ht="45.75" hidden="false" customHeight="true" outlineLevel="0" collapsed="false">
      <c r="A12" s="51" t="str">
        <f aca="false">IF($I12="","",IF(INDEX(Assessment!$A:$A,$I12)="","",INDEX(Assessment!$A:$A,$I12)))</f>
        <v/>
      </c>
      <c r="B12" s="51" t="str">
        <f aca="false">IF($I12="","",IF(INDEX(Assessment!$B:$B,$I12)="","",INDEX(Assessment!$B:$B,$I12)))</f>
        <v/>
      </c>
      <c r="C12" s="52" t="str">
        <f aca="false">IF($I12="","",IF(INDEX(Assessment!$E:$E,$I12)="","",INDEX(Assessment!$E:$E,$I12)))</f>
        <v/>
      </c>
      <c r="D12" s="29" t="str">
        <f aca="false">IF($I12="","",IF(INDEX(Assessment!$C:$C,$I12)="","",INDEX(Assessment!$C:$C,$I12)))</f>
        <v/>
      </c>
      <c r="E12" s="15" t="str">
        <f aca="false">IF($I12="","",IF(INDEX(Assessment!$D:$D,$I12)="","",INDEX(Assessment!$D:$D,$I12)))</f>
        <v/>
      </c>
      <c r="F12" s="12" t="str">
        <f aca="false">IF($I12="","",IF(INDEX(Assessment!$H:$H,$I12)="","",INDEX(Assessment!$H:$H,$I12)))</f>
        <v/>
      </c>
      <c r="G12" s="53" t="str">
        <f aca="false">IF($I12="","",IF(INDEX(Assessment!$I:$I,$I12)="","",INDEX(Assessment!$I:$I,$I12)))</f>
        <v/>
      </c>
      <c r="H12" s="54" t="str">
        <f aca="false">IF($I12="","",IF(INDEX(Assessment!$J:$J,$I12)="","",INDEX(Assessment!$J:$J,$I12)))</f>
        <v/>
      </c>
      <c r="I12" s="0" t="str">
        <f aca="false">IFERROR(MATCH(ROW()-4,Assessment!$L:$L,0),"")</f>
        <v/>
      </c>
    </row>
    <row r="13" customFormat="false" ht="45.75" hidden="false" customHeight="true" outlineLevel="0" collapsed="false">
      <c r="A13" s="51" t="str">
        <f aca="false">IF($I13="","",IF(INDEX(Assessment!$A:$A,$I13)="","",INDEX(Assessment!$A:$A,$I13)))</f>
        <v/>
      </c>
      <c r="B13" s="51" t="str">
        <f aca="false">IF($I13="","",IF(INDEX(Assessment!$B:$B,$I13)="","",INDEX(Assessment!$B:$B,$I13)))</f>
        <v/>
      </c>
      <c r="C13" s="52" t="str">
        <f aca="false">IF($I13="","",IF(INDEX(Assessment!$E:$E,$I13)="","",INDEX(Assessment!$E:$E,$I13)))</f>
        <v/>
      </c>
      <c r="D13" s="29" t="str">
        <f aca="false">IF($I13="","",IF(INDEX(Assessment!$C:$C,$I13)="","",INDEX(Assessment!$C:$C,$I13)))</f>
        <v/>
      </c>
      <c r="E13" s="15" t="str">
        <f aca="false">IF($I13="","",IF(INDEX(Assessment!$D:$D,$I13)="","",INDEX(Assessment!$D:$D,$I13)))</f>
        <v/>
      </c>
      <c r="F13" s="12" t="str">
        <f aca="false">IF($I13="","",IF(INDEX(Assessment!$H:$H,$I13)="","",INDEX(Assessment!$H:$H,$I13)))</f>
        <v/>
      </c>
      <c r="G13" s="53" t="str">
        <f aca="false">IF($I13="","",IF(INDEX(Assessment!$I:$I,$I13)="","",INDEX(Assessment!$I:$I,$I13)))</f>
        <v/>
      </c>
      <c r="H13" s="54" t="str">
        <f aca="false">IF($I13="","",IF(INDEX(Assessment!$J:$J,$I13)="","",INDEX(Assessment!$J:$J,$I13)))</f>
        <v/>
      </c>
      <c r="I13" s="0" t="str">
        <f aca="false">IFERROR(MATCH(ROW()-4,Assessment!$L:$L,0),"")</f>
        <v/>
      </c>
    </row>
    <row r="14" customFormat="false" ht="45.75" hidden="false" customHeight="true" outlineLevel="0" collapsed="false">
      <c r="A14" s="51" t="str">
        <f aca="false">IF($I14="","",IF(INDEX(Assessment!$A:$A,$I14)="","",INDEX(Assessment!$A:$A,$I14)))</f>
        <v/>
      </c>
      <c r="B14" s="51" t="str">
        <f aca="false">IF($I14="","",IF(INDEX(Assessment!$B:$B,$I14)="","",INDEX(Assessment!$B:$B,$I14)))</f>
        <v/>
      </c>
      <c r="C14" s="52" t="str">
        <f aca="false">IF($I14="","",IF(INDEX(Assessment!$E:$E,$I14)="","",INDEX(Assessment!$E:$E,$I14)))</f>
        <v/>
      </c>
      <c r="D14" s="29" t="str">
        <f aca="false">IF($I14="","",IF(INDEX(Assessment!$C:$C,$I14)="","",INDEX(Assessment!$C:$C,$I14)))</f>
        <v/>
      </c>
      <c r="E14" s="15" t="str">
        <f aca="false">IF($I14="","",IF(INDEX(Assessment!$D:$D,$I14)="","",INDEX(Assessment!$D:$D,$I14)))</f>
        <v/>
      </c>
      <c r="F14" s="12" t="str">
        <f aca="false">IF($I14="","",IF(INDEX(Assessment!$H:$H,$I14)="","",INDEX(Assessment!$H:$H,$I14)))</f>
        <v/>
      </c>
      <c r="G14" s="53" t="str">
        <f aca="false">IF($I14="","",IF(INDEX(Assessment!$I:$I,$I14)="","",INDEX(Assessment!$I:$I,$I14)))</f>
        <v/>
      </c>
      <c r="H14" s="54" t="str">
        <f aca="false">IF($I14="","",IF(INDEX(Assessment!$J:$J,$I14)="","",INDEX(Assessment!$J:$J,$I14)))</f>
        <v/>
      </c>
      <c r="I14" s="0" t="str">
        <f aca="false">IFERROR(MATCH(ROW()-4,Assessment!$L:$L,0),"")</f>
        <v/>
      </c>
    </row>
    <row r="15" customFormat="false" ht="45.75" hidden="false" customHeight="true" outlineLevel="0" collapsed="false">
      <c r="A15" s="51" t="str">
        <f aca="false">IF($I15="","",IF(INDEX(Assessment!$A:$A,$I15)="","",INDEX(Assessment!$A:$A,$I15)))</f>
        <v/>
      </c>
      <c r="B15" s="51" t="str">
        <f aca="false">IF($I15="","",IF(INDEX(Assessment!$B:$B,$I15)="","",INDEX(Assessment!$B:$B,$I15)))</f>
        <v/>
      </c>
      <c r="C15" s="52" t="str">
        <f aca="false">IF($I15="","",IF(INDEX(Assessment!$E:$E,$I15)="","",INDEX(Assessment!$E:$E,$I15)))</f>
        <v/>
      </c>
      <c r="D15" s="29" t="str">
        <f aca="false">IF($I15="","",IF(INDEX(Assessment!$C:$C,$I15)="","",INDEX(Assessment!$C:$C,$I15)))</f>
        <v/>
      </c>
      <c r="E15" s="15" t="str">
        <f aca="false">IF($I15="","",IF(INDEX(Assessment!$D:$D,$I15)="","",INDEX(Assessment!$D:$D,$I15)))</f>
        <v/>
      </c>
      <c r="F15" s="12" t="str">
        <f aca="false">IF($I15="","",IF(INDEX(Assessment!$H:$H,$I15)="","",INDEX(Assessment!$H:$H,$I15)))</f>
        <v/>
      </c>
      <c r="G15" s="53" t="str">
        <f aca="false">IF($I15="","",IF(INDEX(Assessment!$I:$I,$I15)="","",INDEX(Assessment!$I:$I,$I15)))</f>
        <v/>
      </c>
      <c r="H15" s="54" t="str">
        <f aca="false">IF($I15="","",IF(INDEX(Assessment!$J:$J,$I15)="","",INDEX(Assessment!$J:$J,$I15)))</f>
        <v/>
      </c>
      <c r="I15" s="0" t="str">
        <f aca="false">IFERROR(MATCH(ROW()-4,Assessment!$L:$L,0),"")</f>
        <v/>
      </c>
    </row>
    <row r="16" customFormat="false" ht="45.75" hidden="false" customHeight="true" outlineLevel="0" collapsed="false">
      <c r="A16" s="51" t="str">
        <f aca="false">IF($I16="","",IF(INDEX(Assessment!$A:$A,$I16)="","",INDEX(Assessment!$A:$A,$I16)))</f>
        <v/>
      </c>
      <c r="B16" s="51" t="str">
        <f aca="false">IF($I16="","",IF(INDEX(Assessment!$B:$B,$I16)="","",INDEX(Assessment!$B:$B,$I16)))</f>
        <v/>
      </c>
      <c r="C16" s="52" t="str">
        <f aca="false">IF($I16="","",IF(INDEX(Assessment!$E:$E,$I16)="","",INDEX(Assessment!$E:$E,$I16)))</f>
        <v/>
      </c>
      <c r="D16" s="29" t="str">
        <f aca="false">IF($I16="","",IF(INDEX(Assessment!$C:$C,$I16)="","",INDEX(Assessment!$C:$C,$I16)))</f>
        <v/>
      </c>
      <c r="E16" s="15" t="str">
        <f aca="false">IF($I16="","",IF(INDEX(Assessment!$D:$D,$I16)="","",INDEX(Assessment!$D:$D,$I16)))</f>
        <v/>
      </c>
      <c r="F16" s="12" t="str">
        <f aca="false">IF($I16="","",IF(INDEX(Assessment!$H:$H,$I16)="","",INDEX(Assessment!$H:$H,$I16)))</f>
        <v/>
      </c>
      <c r="G16" s="53" t="str">
        <f aca="false">IF($I16="","",IF(INDEX(Assessment!$I:$I,$I16)="","",INDEX(Assessment!$I:$I,$I16)))</f>
        <v/>
      </c>
      <c r="H16" s="54" t="str">
        <f aca="false">IF($I16="","",IF(INDEX(Assessment!$J:$J,$I16)="","",INDEX(Assessment!$J:$J,$I16)))</f>
        <v/>
      </c>
      <c r="I16" s="0" t="str">
        <f aca="false">IFERROR(MATCH(ROW()-4,Assessment!$L:$L,0),"")</f>
        <v/>
      </c>
    </row>
    <row r="17" customFormat="false" ht="45.75" hidden="false" customHeight="true" outlineLevel="0" collapsed="false">
      <c r="A17" s="51" t="str">
        <f aca="false">IF($I17="","",IF(INDEX(Assessment!$A:$A,$I17)="","",INDEX(Assessment!$A:$A,$I17)))</f>
        <v/>
      </c>
      <c r="B17" s="51" t="str">
        <f aca="false">IF($I17="","",IF(INDEX(Assessment!$B:$B,$I17)="","",INDEX(Assessment!$B:$B,$I17)))</f>
        <v/>
      </c>
      <c r="C17" s="52" t="str">
        <f aca="false">IF($I17="","",IF(INDEX(Assessment!$E:$E,$I17)="","",INDEX(Assessment!$E:$E,$I17)))</f>
        <v/>
      </c>
      <c r="D17" s="29" t="str">
        <f aca="false">IF($I17="","",IF(INDEX(Assessment!$C:$C,$I17)="","",INDEX(Assessment!$C:$C,$I17)))</f>
        <v/>
      </c>
      <c r="E17" s="15" t="str">
        <f aca="false">IF($I17="","",IF(INDEX(Assessment!$D:$D,$I17)="","",INDEX(Assessment!$D:$D,$I17)))</f>
        <v/>
      </c>
      <c r="F17" s="12" t="str">
        <f aca="false">IF($I17="","",IF(INDEX(Assessment!$H:$H,$I17)="","",INDEX(Assessment!$H:$H,$I17)))</f>
        <v/>
      </c>
      <c r="G17" s="53" t="str">
        <f aca="false">IF($I17="","",IF(INDEX(Assessment!$I:$I,$I17)="","",INDEX(Assessment!$I:$I,$I17)))</f>
        <v/>
      </c>
      <c r="H17" s="54" t="str">
        <f aca="false">IF($I17="","",IF(INDEX(Assessment!$J:$J,$I17)="","",INDEX(Assessment!$J:$J,$I17)))</f>
        <v/>
      </c>
      <c r="I17" s="0" t="str">
        <f aca="false">IFERROR(MATCH(ROW()-4,Assessment!$L:$L,0),"")</f>
        <v/>
      </c>
    </row>
    <row r="18" customFormat="false" ht="45.75" hidden="false" customHeight="true" outlineLevel="0" collapsed="false">
      <c r="A18" s="51" t="str">
        <f aca="false">IF($I18="","",IF(INDEX(Assessment!$A:$A,$I18)="","",INDEX(Assessment!$A:$A,$I18)))</f>
        <v/>
      </c>
      <c r="B18" s="51" t="str">
        <f aca="false">IF($I18="","",IF(INDEX(Assessment!$B:$B,$I18)="","",INDEX(Assessment!$B:$B,$I18)))</f>
        <v/>
      </c>
      <c r="C18" s="52" t="str">
        <f aca="false">IF($I18="","",IF(INDEX(Assessment!$E:$E,$I18)="","",INDEX(Assessment!$E:$E,$I18)))</f>
        <v/>
      </c>
      <c r="D18" s="29" t="str">
        <f aca="false">IF($I18="","",IF(INDEX(Assessment!$C:$C,$I18)="","",INDEX(Assessment!$C:$C,$I18)))</f>
        <v/>
      </c>
      <c r="E18" s="15" t="str">
        <f aca="false">IF($I18="","",IF(INDEX(Assessment!$D:$D,$I18)="","",INDEX(Assessment!$D:$D,$I18)))</f>
        <v/>
      </c>
      <c r="F18" s="12" t="str">
        <f aca="false">IF($I18="","",IF(INDEX(Assessment!$H:$H,$I18)="","",INDEX(Assessment!$H:$H,$I18)))</f>
        <v/>
      </c>
      <c r="G18" s="53" t="str">
        <f aca="false">IF($I18="","",IF(INDEX(Assessment!$I:$I,$I18)="","",INDEX(Assessment!$I:$I,$I18)))</f>
        <v/>
      </c>
      <c r="H18" s="54" t="str">
        <f aca="false">IF($I18="","",IF(INDEX(Assessment!$J:$J,$I18)="","",INDEX(Assessment!$J:$J,$I18)))</f>
        <v/>
      </c>
      <c r="I18" s="0" t="str">
        <f aca="false">IFERROR(MATCH(ROW()-4,Assessment!$L:$L,0),"")</f>
        <v/>
      </c>
    </row>
    <row r="19" customFormat="false" ht="45.75" hidden="false" customHeight="true" outlineLevel="0" collapsed="false">
      <c r="A19" s="51" t="str">
        <f aca="false">IF($I19="","",IF(INDEX(Assessment!$A:$A,$I19)="","",INDEX(Assessment!$A:$A,$I19)))</f>
        <v/>
      </c>
      <c r="B19" s="51" t="str">
        <f aca="false">IF($I19="","",IF(INDEX(Assessment!$B:$B,$I19)="","",INDEX(Assessment!$B:$B,$I19)))</f>
        <v/>
      </c>
      <c r="C19" s="52" t="str">
        <f aca="false">IF($I19="","",IF(INDEX(Assessment!$E:$E,$I19)="","",INDEX(Assessment!$E:$E,$I19)))</f>
        <v/>
      </c>
      <c r="D19" s="29" t="str">
        <f aca="false">IF($I19="","",IF(INDEX(Assessment!$C:$C,$I19)="","",INDEX(Assessment!$C:$C,$I19)))</f>
        <v/>
      </c>
      <c r="E19" s="15" t="str">
        <f aca="false">IF($I19="","",IF(INDEX(Assessment!$D:$D,$I19)="","",INDEX(Assessment!$D:$D,$I19)))</f>
        <v/>
      </c>
      <c r="F19" s="12" t="str">
        <f aca="false">IF($I19="","",IF(INDEX(Assessment!$H:$H,$I19)="","",INDEX(Assessment!$H:$H,$I19)))</f>
        <v/>
      </c>
      <c r="G19" s="53" t="str">
        <f aca="false">IF($I19="","",IF(INDEX(Assessment!$I:$I,$I19)="","",INDEX(Assessment!$I:$I,$I19)))</f>
        <v/>
      </c>
      <c r="H19" s="54" t="str">
        <f aca="false">IF($I19="","",IF(INDEX(Assessment!$J:$J,$I19)="","",INDEX(Assessment!$J:$J,$I19)))</f>
        <v/>
      </c>
      <c r="I19" s="0" t="str">
        <f aca="false">IFERROR(MATCH(ROW()-4,Assessment!$L:$L,0),"")</f>
        <v/>
      </c>
    </row>
    <row r="20" customFormat="false" ht="45.75" hidden="false" customHeight="true" outlineLevel="0" collapsed="false">
      <c r="A20" s="51" t="str">
        <f aca="false">IF($I20="","",IF(INDEX(Assessment!$A:$A,$I20)="","",INDEX(Assessment!$A:$A,$I20)))</f>
        <v/>
      </c>
      <c r="B20" s="51" t="str">
        <f aca="false">IF($I20="","",IF(INDEX(Assessment!$B:$B,$I20)="","",INDEX(Assessment!$B:$B,$I20)))</f>
        <v/>
      </c>
      <c r="C20" s="52" t="str">
        <f aca="false">IF($I20="","",IF(INDEX(Assessment!$E:$E,$I20)="","",INDEX(Assessment!$E:$E,$I20)))</f>
        <v/>
      </c>
      <c r="D20" s="29" t="str">
        <f aca="false">IF($I20="","",IF(INDEX(Assessment!$C:$C,$I20)="","",INDEX(Assessment!$C:$C,$I20)))</f>
        <v/>
      </c>
      <c r="E20" s="15" t="str">
        <f aca="false">IF($I20="","",IF(INDEX(Assessment!$D:$D,$I20)="","",INDEX(Assessment!$D:$D,$I20)))</f>
        <v/>
      </c>
      <c r="F20" s="12" t="str">
        <f aca="false">IF($I20="","",IF(INDEX(Assessment!$H:$H,$I20)="","",INDEX(Assessment!$H:$H,$I20)))</f>
        <v/>
      </c>
      <c r="G20" s="53" t="str">
        <f aca="false">IF($I20="","",IF(INDEX(Assessment!$I:$I,$I20)="","",INDEX(Assessment!$I:$I,$I20)))</f>
        <v/>
      </c>
      <c r="H20" s="54" t="str">
        <f aca="false">IF($I20="","",IF(INDEX(Assessment!$J:$J,$I20)="","",INDEX(Assessment!$J:$J,$I20)))</f>
        <v/>
      </c>
      <c r="I20" s="0" t="str">
        <f aca="false">IFERROR(MATCH(ROW()-4,Assessment!$L:$L,0),"")</f>
        <v/>
      </c>
    </row>
    <row r="21" customFormat="false" ht="45.75" hidden="false" customHeight="true" outlineLevel="0" collapsed="false">
      <c r="A21" s="51" t="str">
        <f aca="false">IF($I21="","",IF(INDEX(Assessment!$A:$A,$I21)="","",INDEX(Assessment!$A:$A,$I21)))</f>
        <v/>
      </c>
      <c r="B21" s="51" t="str">
        <f aca="false">IF($I21="","",IF(INDEX(Assessment!$B:$B,$I21)="","",INDEX(Assessment!$B:$B,$I21)))</f>
        <v/>
      </c>
      <c r="C21" s="52" t="str">
        <f aca="false">IF($I21="","",IF(INDEX(Assessment!$E:$E,$I21)="","",INDEX(Assessment!$E:$E,$I21)))</f>
        <v/>
      </c>
      <c r="D21" s="29" t="str">
        <f aca="false">IF($I21="","",IF(INDEX(Assessment!$C:$C,$I21)="","",INDEX(Assessment!$C:$C,$I21)))</f>
        <v/>
      </c>
      <c r="E21" s="15" t="str">
        <f aca="false">IF($I21="","",IF(INDEX(Assessment!$D:$D,$I21)="","",INDEX(Assessment!$D:$D,$I21)))</f>
        <v/>
      </c>
      <c r="F21" s="12" t="str">
        <f aca="false">IF($I21="","",IF(INDEX(Assessment!$H:$H,$I21)="","",INDEX(Assessment!$H:$H,$I21)))</f>
        <v/>
      </c>
      <c r="G21" s="53" t="str">
        <f aca="false">IF($I21="","",IF(INDEX(Assessment!$I:$I,$I21)="","",INDEX(Assessment!$I:$I,$I21)))</f>
        <v/>
      </c>
      <c r="H21" s="54" t="str">
        <f aca="false">IF($I21="","",IF(INDEX(Assessment!$J:$J,$I21)="","",INDEX(Assessment!$J:$J,$I21)))</f>
        <v/>
      </c>
      <c r="I21" s="0" t="str">
        <f aca="false">IFERROR(MATCH(ROW()-4,Assessment!$L:$L,0),"")</f>
        <v/>
      </c>
    </row>
    <row r="22" customFormat="false" ht="45.75" hidden="false" customHeight="true" outlineLevel="0" collapsed="false">
      <c r="A22" s="51" t="str">
        <f aca="false">IF($I22="","",IF(INDEX(Assessment!$A:$A,$I22)="","",INDEX(Assessment!$A:$A,$I22)))</f>
        <v/>
      </c>
      <c r="B22" s="51" t="str">
        <f aca="false">IF($I22="","",IF(INDEX(Assessment!$B:$B,$I22)="","",INDEX(Assessment!$B:$B,$I22)))</f>
        <v/>
      </c>
      <c r="C22" s="52" t="str">
        <f aca="false">IF($I22="","",IF(INDEX(Assessment!$E:$E,$I22)="","",INDEX(Assessment!$E:$E,$I22)))</f>
        <v/>
      </c>
      <c r="D22" s="29" t="str">
        <f aca="false">IF($I22="","",IF(INDEX(Assessment!$C:$C,$I22)="","",INDEX(Assessment!$C:$C,$I22)))</f>
        <v/>
      </c>
      <c r="E22" s="15" t="str">
        <f aca="false">IF($I22="","",IF(INDEX(Assessment!$D:$D,$I22)="","",INDEX(Assessment!$D:$D,$I22)))</f>
        <v/>
      </c>
      <c r="F22" s="12" t="str">
        <f aca="false">IF($I22="","",IF(INDEX(Assessment!$H:$H,$I22)="","",INDEX(Assessment!$H:$H,$I22)))</f>
        <v/>
      </c>
      <c r="G22" s="53" t="str">
        <f aca="false">IF($I22="","",IF(INDEX(Assessment!$I:$I,$I22)="","",INDEX(Assessment!$I:$I,$I22)))</f>
        <v/>
      </c>
      <c r="H22" s="54" t="str">
        <f aca="false">IF($I22="","",IF(INDEX(Assessment!$J:$J,$I22)="","",INDEX(Assessment!$J:$J,$I22)))</f>
        <v/>
      </c>
      <c r="I22" s="0" t="str">
        <f aca="false">IFERROR(MATCH(ROW()-4,Assessment!$L:$L,0),"")</f>
        <v/>
      </c>
    </row>
    <row r="23" customFormat="false" ht="45.75" hidden="false" customHeight="true" outlineLevel="0" collapsed="false">
      <c r="A23" s="51" t="str">
        <f aca="false">IF($I23="","",IF(INDEX(Assessment!$A:$A,$I23)="","",INDEX(Assessment!$A:$A,$I23)))</f>
        <v/>
      </c>
      <c r="B23" s="51" t="str">
        <f aca="false">IF($I23="","",IF(INDEX(Assessment!$B:$B,$I23)="","",INDEX(Assessment!$B:$B,$I23)))</f>
        <v/>
      </c>
      <c r="C23" s="52" t="str">
        <f aca="false">IF($I23="","",IF(INDEX(Assessment!$E:$E,$I23)="","",INDEX(Assessment!$E:$E,$I23)))</f>
        <v/>
      </c>
      <c r="D23" s="29" t="str">
        <f aca="false">IF($I23="","",IF(INDEX(Assessment!$C:$C,$I23)="","",INDEX(Assessment!$C:$C,$I23)))</f>
        <v/>
      </c>
      <c r="E23" s="15" t="str">
        <f aca="false">IF($I23="","",IF(INDEX(Assessment!$D:$D,$I23)="","",INDEX(Assessment!$D:$D,$I23)))</f>
        <v/>
      </c>
      <c r="F23" s="12" t="str">
        <f aca="false">IF($I23="","",IF(INDEX(Assessment!$H:$H,$I23)="","",INDEX(Assessment!$H:$H,$I23)))</f>
        <v/>
      </c>
      <c r="G23" s="53" t="str">
        <f aca="false">IF($I23="","",IF(INDEX(Assessment!$I:$I,$I23)="","",INDEX(Assessment!$I:$I,$I23)))</f>
        <v/>
      </c>
      <c r="H23" s="54" t="str">
        <f aca="false">IF($I23="","",IF(INDEX(Assessment!$J:$J,$I23)="","",INDEX(Assessment!$J:$J,$I23)))</f>
        <v/>
      </c>
      <c r="I23" s="0" t="str">
        <f aca="false">IFERROR(MATCH(ROW()-4,Assessment!$L:$L,0),"")</f>
        <v/>
      </c>
    </row>
    <row r="24" customFormat="false" ht="45.75" hidden="false" customHeight="true" outlineLevel="0" collapsed="false">
      <c r="A24" s="51" t="str">
        <f aca="false">IF($I24="","",IF(INDEX(Assessment!$A:$A,$I24)="","",INDEX(Assessment!$A:$A,$I24)))</f>
        <v/>
      </c>
      <c r="B24" s="51" t="str">
        <f aca="false">IF($I24="","",IF(INDEX(Assessment!$B:$B,$I24)="","",INDEX(Assessment!$B:$B,$I24)))</f>
        <v/>
      </c>
      <c r="C24" s="52" t="str">
        <f aca="false">IF($I24="","",IF(INDEX(Assessment!$E:$E,$I24)="","",INDEX(Assessment!$E:$E,$I24)))</f>
        <v/>
      </c>
      <c r="D24" s="29" t="str">
        <f aca="false">IF($I24="","",IF(INDEX(Assessment!$C:$C,$I24)="","",INDEX(Assessment!$C:$C,$I24)))</f>
        <v/>
      </c>
      <c r="E24" s="15" t="str">
        <f aca="false">IF($I24="","",IF(INDEX(Assessment!$D:$D,$I24)="","",INDEX(Assessment!$D:$D,$I24)))</f>
        <v/>
      </c>
      <c r="F24" s="12" t="str">
        <f aca="false">IF($I24="","",IF(INDEX(Assessment!$H:$H,$I24)="","",INDEX(Assessment!$H:$H,$I24)))</f>
        <v/>
      </c>
      <c r="G24" s="53" t="str">
        <f aca="false">IF($I24="","",IF(INDEX(Assessment!$I:$I,$I24)="","",INDEX(Assessment!$I:$I,$I24)))</f>
        <v/>
      </c>
      <c r="H24" s="54" t="str">
        <f aca="false">IF($I24="","",IF(INDEX(Assessment!$J:$J,$I24)="","",INDEX(Assessment!$J:$J,$I24)))</f>
        <v/>
      </c>
      <c r="I24" s="0" t="str">
        <f aca="false">IFERROR(MATCH(ROW()-4,Assessment!$L:$L,0),"")</f>
        <v/>
      </c>
    </row>
    <row r="25" customFormat="false" ht="45.75" hidden="false" customHeight="true" outlineLevel="0" collapsed="false">
      <c r="A25" s="51" t="str">
        <f aca="false">IF($I25="","",IF(INDEX(Assessment!$A:$A,$I25)="","",INDEX(Assessment!$A:$A,$I25)))</f>
        <v/>
      </c>
      <c r="B25" s="51" t="str">
        <f aca="false">IF($I25="","",IF(INDEX(Assessment!$B:$B,$I25)="","",INDEX(Assessment!$B:$B,$I25)))</f>
        <v/>
      </c>
      <c r="C25" s="52" t="str">
        <f aca="false">IF($I25="","",IF(INDEX(Assessment!$E:$E,$I25)="","",INDEX(Assessment!$E:$E,$I25)))</f>
        <v/>
      </c>
      <c r="D25" s="29" t="str">
        <f aca="false">IF($I25="","",IF(INDEX(Assessment!$C:$C,$I25)="","",INDEX(Assessment!$C:$C,$I25)))</f>
        <v/>
      </c>
      <c r="E25" s="15" t="str">
        <f aca="false">IF($I25="","",IF(INDEX(Assessment!$D:$D,$I25)="","",INDEX(Assessment!$D:$D,$I25)))</f>
        <v/>
      </c>
      <c r="F25" s="12" t="str">
        <f aca="false">IF($I25="","",IF(INDEX(Assessment!$H:$H,$I25)="","",INDEX(Assessment!$H:$H,$I25)))</f>
        <v/>
      </c>
      <c r="G25" s="53" t="str">
        <f aca="false">IF($I25="","",IF(INDEX(Assessment!$I:$I,$I25)="","",INDEX(Assessment!$I:$I,$I25)))</f>
        <v/>
      </c>
      <c r="H25" s="54" t="str">
        <f aca="false">IF($I25="","",IF(INDEX(Assessment!$J:$J,$I25)="","",INDEX(Assessment!$J:$J,$I25)))</f>
        <v/>
      </c>
      <c r="I25" s="0" t="str">
        <f aca="false">IFERROR(MATCH(ROW()-4,Assessment!$L:$L,0),"")</f>
        <v/>
      </c>
    </row>
    <row r="26" customFormat="false" ht="45.75" hidden="false" customHeight="true" outlineLevel="0" collapsed="false">
      <c r="A26" s="51" t="str">
        <f aca="false">IF($I26="","",IF(INDEX(Assessment!$A:$A,$I26)="","",INDEX(Assessment!$A:$A,$I26)))</f>
        <v/>
      </c>
      <c r="B26" s="51" t="str">
        <f aca="false">IF($I26="","",IF(INDEX(Assessment!$B:$B,$I26)="","",INDEX(Assessment!$B:$B,$I26)))</f>
        <v/>
      </c>
      <c r="C26" s="52" t="str">
        <f aca="false">IF($I26="","",IF(INDEX(Assessment!$E:$E,$I26)="","",INDEX(Assessment!$E:$E,$I26)))</f>
        <v/>
      </c>
      <c r="D26" s="29" t="str">
        <f aca="false">IF($I26="","",IF(INDEX(Assessment!$C:$C,$I26)="","",INDEX(Assessment!$C:$C,$I26)))</f>
        <v/>
      </c>
      <c r="E26" s="15" t="str">
        <f aca="false">IF($I26="","",IF(INDEX(Assessment!$D:$D,$I26)="","",INDEX(Assessment!$D:$D,$I26)))</f>
        <v/>
      </c>
      <c r="F26" s="12" t="str">
        <f aca="false">IF($I26="","",IF(INDEX(Assessment!$H:$H,$I26)="","",INDEX(Assessment!$H:$H,$I26)))</f>
        <v/>
      </c>
      <c r="G26" s="53" t="str">
        <f aca="false">IF($I26="","",IF(INDEX(Assessment!$I:$I,$I26)="","",INDEX(Assessment!$I:$I,$I26)))</f>
        <v/>
      </c>
      <c r="H26" s="54" t="str">
        <f aca="false">IF($I26="","",IF(INDEX(Assessment!$J:$J,$I26)="","",INDEX(Assessment!$J:$J,$I26)))</f>
        <v/>
      </c>
      <c r="I26" s="0" t="str">
        <f aca="false">IFERROR(MATCH(ROW()-4,Assessment!$L:$L,0),"")</f>
        <v/>
      </c>
    </row>
    <row r="27" customFormat="false" ht="45.75" hidden="false" customHeight="true" outlineLevel="0" collapsed="false">
      <c r="A27" s="51" t="str">
        <f aca="false">IF($I27="","",IF(INDEX(Assessment!$A:$A,$I27)="","",INDEX(Assessment!$A:$A,$I27)))</f>
        <v/>
      </c>
      <c r="B27" s="51" t="str">
        <f aca="false">IF($I27="","",IF(INDEX(Assessment!$B:$B,$I27)="","",INDEX(Assessment!$B:$B,$I27)))</f>
        <v/>
      </c>
      <c r="C27" s="52" t="str">
        <f aca="false">IF($I27="","",IF(INDEX(Assessment!$E:$E,$I27)="","",INDEX(Assessment!$E:$E,$I27)))</f>
        <v/>
      </c>
      <c r="D27" s="29" t="str">
        <f aca="false">IF($I27="","",IF(INDEX(Assessment!$C:$C,$I27)="","",INDEX(Assessment!$C:$C,$I27)))</f>
        <v/>
      </c>
      <c r="E27" s="15" t="str">
        <f aca="false">IF($I27="","",IF(INDEX(Assessment!$D:$D,$I27)="","",INDEX(Assessment!$D:$D,$I27)))</f>
        <v/>
      </c>
      <c r="F27" s="12" t="str">
        <f aca="false">IF($I27="","",IF(INDEX(Assessment!$H:$H,$I27)="","",INDEX(Assessment!$H:$H,$I27)))</f>
        <v/>
      </c>
      <c r="G27" s="53" t="str">
        <f aca="false">IF($I27="","",IF(INDEX(Assessment!$I:$I,$I27)="","",INDEX(Assessment!$I:$I,$I27)))</f>
        <v/>
      </c>
      <c r="H27" s="54" t="str">
        <f aca="false">IF($I27="","",IF(INDEX(Assessment!$J:$J,$I27)="","",INDEX(Assessment!$J:$J,$I27)))</f>
        <v/>
      </c>
      <c r="I27" s="0" t="str">
        <f aca="false">IFERROR(MATCH(ROW()-4,Assessment!$L:$L,0),"")</f>
        <v/>
      </c>
    </row>
    <row r="28" customFormat="false" ht="45.75" hidden="false" customHeight="true" outlineLevel="0" collapsed="false">
      <c r="A28" s="51" t="str">
        <f aca="false">IF($I28="","",IF(INDEX(Assessment!$A:$A,$I28)="","",INDEX(Assessment!$A:$A,$I28)))</f>
        <v/>
      </c>
      <c r="B28" s="51" t="str">
        <f aca="false">IF($I28="","",IF(INDEX(Assessment!$B:$B,$I28)="","",INDEX(Assessment!$B:$B,$I28)))</f>
        <v/>
      </c>
      <c r="C28" s="52" t="str">
        <f aca="false">IF($I28="","",IF(INDEX(Assessment!$E:$E,$I28)="","",INDEX(Assessment!$E:$E,$I28)))</f>
        <v/>
      </c>
      <c r="D28" s="29" t="str">
        <f aca="false">IF($I28="","",IF(INDEX(Assessment!$C:$C,$I28)="","",INDEX(Assessment!$C:$C,$I28)))</f>
        <v/>
      </c>
      <c r="E28" s="15" t="str">
        <f aca="false">IF($I28="","",IF(INDEX(Assessment!$D:$D,$I28)="","",INDEX(Assessment!$D:$D,$I28)))</f>
        <v/>
      </c>
      <c r="F28" s="12" t="str">
        <f aca="false">IF($I28="","",IF(INDEX(Assessment!$H:$H,$I28)="","",INDEX(Assessment!$H:$H,$I28)))</f>
        <v/>
      </c>
      <c r="G28" s="53" t="str">
        <f aca="false">IF($I28="","",IF(INDEX(Assessment!$I:$I,$I28)="","",INDEX(Assessment!$I:$I,$I28)))</f>
        <v/>
      </c>
      <c r="H28" s="54" t="str">
        <f aca="false">IF($I28="","",IF(INDEX(Assessment!$J:$J,$I28)="","",INDEX(Assessment!$J:$J,$I28)))</f>
        <v/>
      </c>
      <c r="I28" s="0" t="str">
        <f aca="false">IFERROR(MATCH(ROW()-4,Assessment!$L:$L,0),"")</f>
        <v/>
      </c>
    </row>
    <row r="29" customFormat="false" ht="45.75" hidden="false" customHeight="true" outlineLevel="0" collapsed="false">
      <c r="A29" s="51" t="str">
        <f aca="false">IF($I29="","",IF(INDEX(Assessment!$A:$A,$I29)="","",INDEX(Assessment!$A:$A,$I29)))</f>
        <v/>
      </c>
      <c r="B29" s="51" t="str">
        <f aca="false">IF($I29="","",IF(INDEX(Assessment!$B:$B,$I29)="","",INDEX(Assessment!$B:$B,$I29)))</f>
        <v/>
      </c>
      <c r="C29" s="52" t="str">
        <f aca="false">IF($I29="","",IF(INDEX(Assessment!$E:$E,$I29)="","",INDEX(Assessment!$E:$E,$I29)))</f>
        <v/>
      </c>
      <c r="D29" s="29" t="str">
        <f aca="false">IF($I29="","",IF(INDEX(Assessment!$C:$C,$I29)="","",INDEX(Assessment!$C:$C,$I29)))</f>
        <v/>
      </c>
      <c r="E29" s="15" t="str">
        <f aca="false">IF($I29="","",IF(INDEX(Assessment!$D:$D,$I29)="","",INDEX(Assessment!$D:$D,$I29)))</f>
        <v/>
      </c>
      <c r="F29" s="12" t="str">
        <f aca="false">IF($I29="","",IF(INDEX(Assessment!$H:$H,$I29)="","",INDEX(Assessment!$H:$H,$I29)))</f>
        <v/>
      </c>
      <c r="G29" s="53" t="str">
        <f aca="false">IF($I29="","",IF(INDEX(Assessment!$I:$I,$I29)="","",INDEX(Assessment!$I:$I,$I29)))</f>
        <v/>
      </c>
      <c r="H29" s="54" t="str">
        <f aca="false">IF($I29="","",IF(INDEX(Assessment!$J:$J,$I29)="","",INDEX(Assessment!$J:$J,$I29)))</f>
        <v/>
      </c>
      <c r="I29" s="0" t="str">
        <f aca="false">IFERROR(MATCH(ROW()-4,Assessment!$L:$L,0),"")</f>
        <v/>
      </c>
    </row>
    <row r="30" customFormat="false" ht="45.75" hidden="false" customHeight="true" outlineLevel="0" collapsed="false">
      <c r="A30" s="51" t="str">
        <f aca="false">IF($I30="","",IF(INDEX(Assessment!$A:$A,$I30)="","",INDEX(Assessment!$A:$A,$I30)))</f>
        <v/>
      </c>
      <c r="B30" s="51" t="str">
        <f aca="false">IF($I30="","",IF(INDEX(Assessment!$B:$B,$I30)="","",INDEX(Assessment!$B:$B,$I30)))</f>
        <v/>
      </c>
      <c r="C30" s="52" t="str">
        <f aca="false">IF($I30="","",IF(INDEX(Assessment!$E:$E,$I30)="","",INDEX(Assessment!$E:$E,$I30)))</f>
        <v/>
      </c>
      <c r="D30" s="29" t="str">
        <f aca="false">IF($I30="","",IF(INDEX(Assessment!$C:$C,$I30)="","",INDEX(Assessment!$C:$C,$I30)))</f>
        <v/>
      </c>
      <c r="E30" s="15" t="str">
        <f aca="false">IF($I30="","",IF(INDEX(Assessment!$D:$D,$I30)="","",INDEX(Assessment!$D:$D,$I30)))</f>
        <v/>
      </c>
      <c r="F30" s="12" t="str">
        <f aca="false">IF($I30="","",IF(INDEX(Assessment!$H:$H,$I30)="","",INDEX(Assessment!$H:$H,$I30)))</f>
        <v/>
      </c>
      <c r="G30" s="53" t="str">
        <f aca="false">IF($I30="","",IF(INDEX(Assessment!$I:$I,$I30)="","",INDEX(Assessment!$I:$I,$I30)))</f>
        <v/>
      </c>
      <c r="H30" s="54" t="str">
        <f aca="false">IF($I30="","",IF(INDEX(Assessment!$J:$J,$I30)="","",INDEX(Assessment!$J:$J,$I30)))</f>
        <v/>
      </c>
      <c r="I30" s="0" t="str">
        <f aca="false">IFERROR(MATCH(ROW()-4,Assessment!$L:$L,0),"")</f>
        <v/>
      </c>
    </row>
    <row r="31" customFormat="false" ht="45.75" hidden="false" customHeight="true" outlineLevel="0" collapsed="false">
      <c r="A31" s="51" t="str">
        <f aca="false">IF($I31="","",IF(INDEX(Assessment!$A:$A,$I31)="","",INDEX(Assessment!$A:$A,$I31)))</f>
        <v/>
      </c>
      <c r="B31" s="51" t="str">
        <f aca="false">IF($I31="","",IF(INDEX(Assessment!$B:$B,$I31)="","",INDEX(Assessment!$B:$B,$I31)))</f>
        <v/>
      </c>
      <c r="C31" s="52" t="str">
        <f aca="false">IF($I31="","",IF(INDEX(Assessment!$E:$E,$I31)="","",INDEX(Assessment!$E:$E,$I31)))</f>
        <v/>
      </c>
      <c r="D31" s="29" t="str">
        <f aca="false">IF($I31="","",IF(INDEX(Assessment!$C:$C,$I31)="","",INDEX(Assessment!$C:$C,$I31)))</f>
        <v/>
      </c>
      <c r="E31" s="15" t="str">
        <f aca="false">IF($I31="","",IF(INDEX(Assessment!$D:$D,$I31)="","",INDEX(Assessment!$D:$D,$I31)))</f>
        <v/>
      </c>
      <c r="F31" s="12" t="str">
        <f aca="false">IF($I31="","",IF(INDEX(Assessment!$H:$H,$I31)="","",INDEX(Assessment!$H:$H,$I31)))</f>
        <v/>
      </c>
      <c r="G31" s="53" t="str">
        <f aca="false">IF($I31="","",IF(INDEX(Assessment!$I:$I,$I31)="","",INDEX(Assessment!$I:$I,$I31)))</f>
        <v/>
      </c>
      <c r="H31" s="54" t="str">
        <f aca="false">IF($I31="","",IF(INDEX(Assessment!$J:$J,$I31)="","",INDEX(Assessment!$J:$J,$I31)))</f>
        <v/>
      </c>
      <c r="I31" s="0" t="str">
        <f aca="false">IFERROR(MATCH(ROW()-4,Assessment!$L:$L,0),"")</f>
        <v/>
      </c>
    </row>
    <row r="32" customFormat="false" ht="45.75" hidden="false" customHeight="true" outlineLevel="0" collapsed="false">
      <c r="A32" s="51" t="str">
        <f aca="false">IF($I32="","",IF(INDEX(Assessment!$A:$A,$I32)="","",INDEX(Assessment!$A:$A,$I32)))</f>
        <v/>
      </c>
      <c r="B32" s="51" t="str">
        <f aca="false">IF($I32="","",IF(INDEX(Assessment!$B:$B,$I32)="","",INDEX(Assessment!$B:$B,$I32)))</f>
        <v/>
      </c>
      <c r="C32" s="52" t="str">
        <f aca="false">IF($I32="","",IF(INDEX(Assessment!$E:$E,$I32)="","",INDEX(Assessment!$E:$E,$I32)))</f>
        <v/>
      </c>
      <c r="D32" s="29" t="str">
        <f aca="false">IF($I32="","",IF(INDEX(Assessment!$C:$C,$I32)="","",INDEX(Assessment!$C:$C,$I32)))</f>
        <v/>
      </c>
      <c r="E32" s="15" t="str">
        <f aca="false">IF($I32="","",IF(INDEX(Assessment!$D:$D,$I32)="","",INDEX(Assessment!$D:$D,$I32)))</f>
        <v/>
      </c>
      <c r="F32" s="12" t="str">
        <f aca="false">IF($I32="","",IF(INDEX(Assessment!$H:$H,$I32)="","",INDEX(Assessment!$H:$H,$I32)))</f>
        <v/>
      </c>
      <c r="G32" s="53" t="str">
        <f aca="false">IF($I32="","",IF(INDEX(Assessment!$I:$I,$I32)="","",INDEX(Assessment!$I:$I,$I32)))</f>
        <v/>
      </c>
      <c r="H32" s="54" t="str">
        <f aca="false">IF($I32="","",IF(INDEX(Assessment!$J:$J,$I32)="","",INDEX(Assessment!$J:$J,$I32)))</f>
        <v/>
      </c>
      <c r="I32" s="0" t="str">
        <f aca="false">IFERROR(MATCH(ROW()-4,Assessment!$L:$L,0),"")</f>
        <v/>
      </c>
    </row>
    <row r="33" customFormat="false" ht="45.75" hidden="false" customHeight="true" outlineLevel="0" collapsed="false">
      <c r="A33" s="51" t="str">
        <f aca="false">IF($I33="","",IF(INDEX(Assessment!$A:$A,$I33)="","",INDEX(Assessment!$A:$A,$I33)))</f>
        <v/>
      </c>
      <c r="B33" s="51" t="str">
        <f aca="false">IF($I33="","",IF(INDEX(Assessment!$B:$B,$I33)="","",INDEX(Assessment!$B:$B,$I33)))</f>
        <v/>
      </c>
      <c r="C33" s="52" t="str">
        <f aca="false">IF($I33="","",IF(INDEX(Assessment!$E:$E,$I33)="","",INDEX(Assessment!$E:$E,$I33)))</f>
        <v/>
      </c>
      <c r="D33" s="29" t="str">
        <f aca="false">IF($I33="","",IF(INDEX(Assessment!$C:$C,$I33)="","",INDEX(Assessment!$C:$C,$I33)))</f>
        <v/>
      </c>
      <c r="E33" s="15" t="str">
        <f aca="false">IF($I33="","",IF(INDEX(Assessment!$D:$D,$I33)="","",INDEX(Assessment!$D:$D,$I33)))</f>
        <v/>
      </c>
      <c r="F33" s="12" t="str">
        <f aca="false">IF($I33="","",IF(INDEX(Assessment!$H:$H,$I33)="","",INDEX(Assessment!$H:$H,$I33)))</f>
        <v/>
      </c>
      <c r="G33" s="53" t="str">
        <f aca="false">IF($I33="","",IF(INDEX(Assessment!$I:$I,$I33)="","",INDEX(Assessment!$I:$I,$I33)))</f>
        <v/>
      </c>
      <c r="H33" s="54" t="str">
        <f aca="false">IF($I33="","",IF(INDEX(Assessment!$J:$J,$I33)="","",INDEX(Assessment!$J:$J,$I33)))</f>
        <v/>
      </c>
      <c r="I33" s="0" t="str">
        <f aca="false">IFERROR(MATCH(ROW()-4,Assessment!$L:$L,0),"")</f>
        <v/>
      </c>
    </row>
    <row r="34" customFormat="false" ht="45.75" hidden="false" customHeight="true" outlineLevel="0" collapsed="false">
      <c r="A34" s="51" t="str">
        <f aca="false">IF($I34="","",IF(INDEX(Assessment!$A:$A,$I34)="","",INDEX(Assessment!$A:$A,$I34)))</f>
        <v/>
      </c>
      <c r="B34" s="51" t="str">
        <f aca="false">IF($I34="","",IF(INDEX(Assessment!$B:$B,$I34)="","",INDEX(Assessment!$B:$B,$I34)))</f>
        <v/>
      </c>
      <c r="C34" s="52" t="str">
        <f aca="false">IF($I34="","",IF(INDEX(Assessment!$E:$E,$I34)="","",INDEX(Assessment!$E:$E,$I34)))</f>
        <v/>
      </c>
      <c r="D34" s="29" t="str">
        <f aca="false">IF($I34="","",IF(INDEX(Assessment!$C:$C,$I34)="","",INDEX(Assessment!$C:$C,$I34)))</f>
        <v/>
      </c>
      <c r="E34" s="15" t="str">
        <f aca="false">IF($I34="","",IF(INDEX(Assessment!$D:$D,$I34)="","",INDEX(Assessment!$D:$D,$I34)))</f>
        <v/>
      </c>
      <c r="F34" s="12" t="str">
        <f aca="false">IF($I34="","",IF(INDEX(Assessment!$H:$H,$I34)="","",INDEX(Assessment!$H:$H,$I34)))</f>
        <v/>
      </c>
      <c r="G34" s="53" t="str">
        <f aca="false">IF($I34="","",IF(INDEX(Assessment!$I:$I,$I34)="","",INDEX(Assessment!$I:$I,$I34)))</f>
        <v/>
      </c>
      <c r="H34" s="54" t="str">
        <f aca="false">IF($I34="","",IF(INDEX(Assessment!$J:$J,$I34)="","",INDEX(Assessment!$J:$J,$I34)))</f>
        <v/>
      </c>
      <c r="I34" s="0" t="str">
        <f aca="false">IFERROR(MATCH(ROW()-4,Assessment!$L:$L,0),"")</f>
        <v/>
      </c>
    </row>
    <row r="35" customFormat="false" ht="45.75" hidden="false" customHeight="true" outlineLevel="0" collapsed="false">
      <c r="A35" s="51" t="str">
        <f aca="false">IF($I35="","",IF(INDEX(Assessment!$A:$A,$I35)="","",INDEX(Assessment!$A:$A,$I35)))</f>
        <v/>
      </c>
      <c r="B35" s="51" t="str">
        <f aca="false">IF($I35="","",IF(INDEX(Assessment!$B:$B,$I35)="","",INDEX(Assessment!$B:$B,$I35)))</f>
        <v/>
      </c>
      <c r="C35" s="52" t="str">
        <f aca="false">IF($I35="","",IF(INDEX(Assessment!$E:$E,$I35)="","",INDEX(Assessment!$E:$E,$I35)))</f>
        <v/>
      </c>
      <c r="D35" s="29" t="str">
        <f aca="false">IF($I35="","",IF(INDEX(Assessment!$C:$C,$I35)="","",INDEX(Assessment!$C:$C,$I35)))</f>
        <v/>
      </c>
      <c r="E35" s="15" t="str">
        <f aca="false">IF($I35="","",IF(INDEX(Assessment!$D:$D,$I35)="","",INDEX(Assessment!$D:$D,$I35)))</f>
        <v/>
      </c>
      <c r="F35" s="12" t="str">
        <f aca="false">IF($I35="","",IF(INDEX(Assessment!$H:$H,$I35)="","",INDEX(Assessment!$H:$H,$I35)))</f>
        <v/>
      </c>
      <c r="G35" s="53" t="str">
        <f aca="false">IF($I35="","",IF(INDEX(Assessment!$I:$I,$I35)="","",INDEX(Assessment!$I:$I,$I35)))</f>
        <v/>
      </c>
      <c r="H35" s="54" t="str">
        <f aca="false">IF($I35="","",IF(INDEX(Assessment!$J:$J,$I35)="","",INDEX(Assessment!$J:$J,$I35)))</f>
        <v/>
      </c>
      <c r="I35" s="0" t="str">
        <f aca="false">IFERROR(MATCH(ROW()-4,Assessment!$L:$L,0),"")</f>
        <v/>
      </c>
    </row>
    <row r="36" customFormat="false" ht="45.75" hidden="false" customHeight="true" outlineLevel="0" collapsed="false">
      <c r="A36" s="51" t="str">
        <f aca="false">IF($I36="","",IF(INDEX(Assessment!$A:$A,$I36)="","",INDEX(Assessment!$A:$A,$I36)))</f>
        <v/>
      </c>
      <c r="B36" s="51" t="str">
        <f aca="false">IF($I36="","",IF(INDEX(Assessment!$B:$B,$I36)="","",INDEX(Assessment!$B:$B,$I36)))</f>
        <v/>
      </c>
      <c r="C36" s="52" t="str">
        <f aca="false">IF($I36="","",IF(INDEX(Assessment!$E:$E,$I36)="","",INDEX(Assessment!$E:$E,$I36)))</f>
        <v/>
      </c>
      <c r="D36" s="29" t="str">
        <f aca="false">IF($I36="","",IF(INDEX(Assessment!$C:$C,$I36)="","",INDEX(Assessment!$C:$C,$I36)))</f>
        <v/>
      </c>
      <c r="E36" s="15" t="str">
        <f aca="false">IF($I36="","",IF(INDEX(Assessment!$D:$D,$I36)="","",INDEX(Assessment!$D:$D,$I36)))</f>
        <v/>
      </c>
      <c r="F36" s="12" t="str">
        <f aca="false">IF($I36="","",IF(INDEX(Assessment!$H:$H,$I36)="","",INDEX(Assessment!$H:$H,$I36)))</f>
        <v/>
      </c>
      <c r="G36" s="53" t="str">
        <f aca="false">IF($I36="","",IF(INDEX(Assessment!$I:$I,$I36)="","",INDEX(Assessment!$I:$I,$I36)))</f>
        <v/>
      </c>
      <c r="H36" s="54" t="str">
        <f aca="false">IF($I36="","",IF(INDEX(Assessment!$J:$J,$I36)="","",INDEX(Assessment!$J:$J,$I36)))</f>
        <v/>
      </c>
      <c r="I36" s="0" t="str">
        <f aca="false">IFERROR(MATCH(ROW()-4,Assessment!$L:$L,0),"")</f>
        <v/>
      </c>
    </row>
    <row r="37" customFormat="false" ht="45.75" hidden="false" customHeight="true" outlineLevel="0" collapsed="false">
      <c r="A37" s="51" t="str">
        <f aca="false">IF($I37="","",IF(INDEX(Assessment!$A:$A,$I37)="","",INDEX(Assessment!$A:$A,$I37)))</f>
        <v/>
      </c>
      <c r="B37" s="51" t="str">
        <f aca="false">IF($I37="","",IF(INDEX(Assessment!$B:$B,$I37)="","",INDEX(Assessment!$B:$B,$I37)))</f>
        <v/>
      </c>
      <c r="C37" s="52" t="str">
        <f aca="false">IF($I37="","",IF(INDEX(Assessment!$E:$E,$I37)="","",INDEX(Assessment!$E:$E,$I37)))</f>
        <v/>
      </c>
      <c r="D37" s="29" t="str">
        <f aca="false">IF($I37="","",IF(INDEX(Assessment!$C:$C,$I37)="","",INDEX(Assessment!$C:$C,$I37)))</f>
        <v/>
      </c>
      <c r="E37" s="15" t="str">
        <f aca="false">IF($I37="","",IF(INDEX(Assessment!$D:$D,$I37)="","",INDEX(Assessment!$D:$D,$I37)))</f>
        <v/>
      </c>
      <c r="F37" s="12" t="str">
        <f aca="false">IF($I37="","",IF(INDEX(Assessment!$H:$H,$I37)="","",INDEX(Assessment!$H:$H,$I37)))</f>
        <v/>
      </c>
      <c r="G37" s="53" t="str">
        <f aca="false">IF($I37="","",IF(INDEX(Assessment!$I:$I,$I37)="","",INDEX(Assessment!$I:$I,$I37)))</f>
        <v/>
      </c>
      <c r="H37" s="54" t="str">
        <f aca="false">IF($I37="","",IF(INDEX(Assessment!$J:$J,$I37)="","",INDEX(Assessment!$J:$J,$I37)))</f>
        <v/>
      </c>
      <c r="I37" s="0" t="str">
        <f aca="false">IFERROR(MATCH(ROW()-4,Assessment!$L:$L,0),"")</f>
        <v/>
      </c>
    </row>
    <row r="38" customFormat="false" ht="45.75" hidden="false" customHeight="true" outlineLevel="0" collapsed="false">
      <c r="A38" s="51" t="str">
        <f aca="false">IF($I38="","",IF(INDEX(Assessment!$A:$A,$I38)="","",INDEX(Assessment!$A:$A,$I38)))</f>
        <v/>
      </c>
      <c r="B38" s="51" t="str">
        <f aca="false">IF($I38="","",IF(INDEX(Assessment!$B:$B,$I38)="","",INDEX(Assessment!$B:$B,$I38)))</f>
        <v/>
      </c>
      <c r="C38" s="52" t="str">
        <f aca="false">IF($I38="","",IF(INDEX(Assessment!$E:$E,$I38)="","",INDEX(Assessment!$E:$E,$I38)))</f>
        <v/>
      </c>
      <c r="D38" s="29" t="str">
        <f aca="false">IF($I38="","",IF(INDEX(Assessment!$C:$C,$I38)="","",INDEX(Assessment!$C:$C,$I38)))</f>
        <v/>
      </c>
      <c r="E38" s="15" t="str">
        <f aca="false">IF($I38="","",IF(INDEX(Assessment!$D:$D,$I38)="","",INDEX(Assessment!$D:$D,$I38)))</f>
        <v/>
      </c>
      <c r="F38" s="12" t="str">
        <f aca="false">IF($I38="","",IF(INDEX(Assessment!$H:$H,$I38)="","",INDEX(Assessment!$H:$H,$I38)))</f>
        <v/>
      </c>
      <c r="G38" s="53" t="str">
        <f aca="false">IF($I38="","",IF(INDEX(Assessment!$I:$I,$I38)="","",INDEX(Assessment!$I:$I,$I38)))</f>
        <v/>
      </c>
      <c r="H38" s="54" t="str">
        <f aca="false">IF($I38="","",IF(INDEX(Assessment!$J:$J,$I38)="","",INDEX(Assessment!$J:$J,$I38)))</f>
        <v/>
      </c>
      <c r="I38" s="0" t="str">
        <f aca="false">IFERROR(MATCH(ROW()-4,Assessment!$L:$L,0),"")</f>
        <v/>
      </c>
    </row>
    <row r="39" customFormat="false" ht="45.75" hidden="false" customHeight="true" outlineLevel="0" collapsed="false">
      <c r="A39" s="51" t="str">
        <f aca="false">IF($I39="","",IF(INDEX(Assessment!$A:$A,$I39)="","",INDEX(Assessment!$A:$A,$I39)))</f>
        <v/>
      </c>
      <c r="B39" s="51" t="str">
        <f aca="false">IF($I39="","",IF(INDEX(Assessment!$B:$B,$I39)="","",INDEX(Assessment!$B:$B,$I39)))</f>
        <v/>
      </c>
      <c r="C39" s="52" t="str">
        <f aca="false">IF($I39="","",IF(INDEX(Assessment!$E:$E,$I39)="","",INDEX(Assessment!$E:$E,$I39)))</f>
        <v/>
      </c>
      <c r="D39" s="29" t="str">
        <f aca="false">IF($I39="","",IF(INDEX(Assessment!$C:$C,$I39)="","",INDEX(Assessment!$C:$C,$I39)))</f>
        <v/>
      </c>
      <c r="E39" s="15" t="str">
        <f aca="false">IF($I39="","",IF(INDEX(Assessment!$D:$D,$I39)="","",INDEX(Assessment!$D:$D,$I39)))</f>
        <v/>
      </c>
      <c r="F39" s="12" t="str">
        <f aca="false">IF($I39="","",IF(INDEX(Assessment!$H:$H,$I39)="","",INDEX(Assessment!$H:$H,$I39)))</f>
        <v/>
      </c>
      <c r="G39" s="53" t="str">
        <f aca="false">IF($I39="","",IF(INDEX(Assessment!$I:$I,$I39)="","",INDEX(Assessment!$I:$I,$I39)))</f>
        <v/>
      </c>
      <c r="H39" s="54" t="str">
        <f aca="false">IF($I39="","",IF(INDEX(Assessment!$J:$J,$I39)="","",INDEX(Assessment!$J:$J,$I39)))</f>
        <v/>
      </c>
      <c r="I39" s="0" t="str">
        <f aca="false">IFERROR(MATCH(ROW()-4,Assessment!$L:$L,0),"")</f>
        <v/>
      </c>
    </row>
    <row r="40" customFormat="false" ht="45.75" hidden="false" customHeight="true" outlineLevel="0" collapsed="false">
      <c r="A40" s="51" t="str">
        <f aca="false">IF($I40="","",IF(INDEX(Assessment!$A:$A,$I40)="","",INDEX(Assessment!$A:$A,$I40)))</f>
        <v/>
      </c>
      <c r="B40" s="51" t="str">
        <f aca="false">IF($I40="","",IF(INDEX(Assessment!$B:$B,$I40)="","",INDEX(Assessment!$B:$B,$I40)))</f>
        <v/>
      </c>
      <c r="C40" s="52" t="str">
        <f aca="false">IF($I40="","",IF(INDEX(Assessment!$E:$E,$I40)="","",INDEX(Assessment!$E:$E,$I40)))</f>
        <v/>
      </c>
      <c r="D40" s="29" t="str">
        <f aca="false">IF($I40="","",IF(INDEX(Assessment!$C:$C,$I40)="","",INDEX(Assessment!$C:$C,$I40)))</f>
        <v/>
      </c>
      <c r="E40" s="15" t="str">
        <f aca="false">IF($I40="","",IF(INDEX(Assessment!$D:$D,$I40)="","",INDEX(Assessment!$D:$D,$I40)))</f>
        <v/>
      </c>
      <c r="F40" s="12" t="str">
        <f aca="false">IF($I40="","",IF(INDEX(Assessment!$H:$H,$I40)="","",INDEX(Assessment!$H:$H,$I40)))</f>
        <v/>
      </c>
      <c r="G40" s="53" t="str">
        <f aca="false">IF($I40="","",IF(INDEX(Assessment!$I:$I,$I40)="","",INDEX(Assessment!$I:$I,$I40)))</f>
        <v/>
      </c>
      <c r="H40" s="54" t="str">
        <f aca="false">IF($I40="","",IF(INDEX(Assessment!$J:$J,$I40)="","",INDEX(Assessment!$J:$J,$I40)))</f>
        <v/>
      </c>
      <c r="I40" s="0" t="str">
        <f aca="false">IFERROR(MATCH(ROW()-4,Assessment!$L:$L,0),"")</f>
        <v/>
      </c>
    </row>
    <row r="41" customFormat="false" ht="45.75" hidden="false" customHeight="true" outlineLevel="0" collapsed="false">
      <c r="A41" s="51" t="str">
        <f aca="false">IF($I41="","",IF(INDEX(Assessment!$A:$A,$I41)="","",INDEX(Assessment!$A:$A,$I41)))</f>
        <v/>
      </c>
      <c r="B41" s="51" t="str">
        <f aca="false">IF($I41="","",IF(INDEX(Assessment!$B:$B,$I41)="","",INDEX(Assessment!$B:$B,$I41)))</f>
        <v/>
      </c>
      <c r="C41" s="52" t="str">
        <f aca="false">IF($I41="","",IF(INDEX(Assessment!$E:$E,$I41)="","",INDEX(Assessment!$E:$E,$I41)))</f>
        <v/>
      </c>
      <c r="D41" s="29" t="str">
        <f aca="false">IF($I41="","",IF(INDEX(Assessment!$C:$C,$I41)="","",INDEX(Assessment!$C:$C,$I41)))</f>
        <v/>
      </c>
      <c r="E41" s="15" t="str">
        <f aca="false">IF($I41="","",IF(INDEX(Assessment!$D:$D,$I41)="","",INDEX(Assessment!$D:$D,$I41)))</f>
        <v/>
      </c>
      <c r="F41" s="12" t="str">
        <f aca="false">IF($I41="","",IF(INDEX(Assessment!$H:$H,$I41)="","",INDEX(Assessment!$H:$H,$I41)))</f>
        <v/>
      </c>
      <c r="G41" s="53" t="str">
        <f aca="false">IF($I41="","",IF(INDEX(Assessment!$I:$I,$I41)="","",INDEX(Assessment!$I:$I,$I41)))</f>
        <v/>
      </c>
      <c r="H41" s="54" t="str">
        <f aca="false">IF($I41="","",IF(INDEX(Assessment!$J:$J,$I41)="","",INDEX(Assessment!$J:$J,$I41)))</f>
        <v/>
      </c>
      <c r="I41" s="0" t="str">
        <f aca="false">IFERROR(MATCH(ROW()-4,Assessment!$L:$L,0),"")</f>
        <v/>
      </c>
    </row>
    <row r="42" customFormat="false" ht="45.75" hidden="false" customHeight="true" outlineLevel="0" collapsed="false">
      <c r="A42" s="51" t="str">
        <f aca="false">IF($I42="","",IF(INDEX(Assessment!$A:$A,$I42)="","",INDEX(Assessment!$A:$A,$I42)))</f>
        <v/>
      </c>
      <c r="B42" s="51" t="str">
        <f aca="false">IF($I42="","",IF(INDEX(Assessment!$B:$B,$I42)="","",INDEX(Assessment!$B:$B,$I42)))</f>
        <v/>
      </c>
      <c r="C42" s="52" t="str">
        <f aca="false">IF($I42="","",IF(INDEX(Assessment!$E:$E,$I42)="","",INDEX(Assessment!$E:$E,$I42)))</f>
        <v/>
      </c>
      <c r="D42" s="29" t="str">
        <f aca="false">IF($I42="","",IF(INDEX(Assessment!$C:$C,$I42)="","",INDEX(Assessment!$C:$C,$I42)))</f>
        <v/>
      </c>
      <c r="E42" s="15" t="str">
        <f aca="false">IF($I42="","",IF(INDEX(Assessment!$D:$D,$I42)="","",INDEX(Assessment!$D:$D,$I42)))</f>
        <v/>
      </c>
      <c r="F42" s="12" t="str">
        <f aca="false">IF($I42="","",IF(INDEX(Assessment!$H:$H,$I42)="","",INDEX(Assessment!$H:$H,$I42)))</f>
        <v/>
      </c>
      <c r="G42" s="53" t="str">
        <f aca="false">IF($I42="","",IF(INDEX(Assessment!$I:$I,$I42)="","",INDEX(Assessment!$I:$I,$I42)))</f>
        <v/>
      </c>
      <c r="H42" s="54" t="str">
        <f aca="false">IF($I42="","",IF(INDEX(Assessment!$J:$J,$I42)="","",INDEX(Assessment!$J:$J,$I42)))</f>
        <v/>
      </c>
      <c r="I42" s="0" t="str">
        <f aca="false">IFERROR(MATCH(ROW()-4,Assessment!$L:$L,0),"")</f>
        <v/>
      </c>
    </row>
    <row r="43" customFormat="false" ht="45.75" hidden="false" customHeight="true" outlineLevel="0" collapsed="false">
      <c r="A43" s="51" t="str">
        <f aca="false">IF($I43="","",IF(INDEX(Assessment!$A:$A,$I43)="","",INDEX(Assessment!$A:$A,$I43)))</f>
        <v/>
      </c>
      <c r="B43" s="51" t="str">
        <f aca="false">IF($I43="","",IF(INDEX(Assessment!$B:$B,$I43)="","",INDEX(Assessment!$B:$B,$I43)))</f>
        <v/>
      </c>
      <c r="C43" s="52" t="str">
        <f aca="false">IF($I43="","",IF(INDEX(Assessment!$E:$E,$I43)="","",INDEX(Assessment!$E:$E,$I43)))</f>
        <v/>
      </c>
      <c r="D43" s="29" t="str">
        <f aca="false">IF($I43="","",IF(INDEX(Assessment!$C:$C,$I43)="","",INDEX(Assessment!$C:$C,$I43)))</f>
        <v/>
      </c>
      <c r="E43" s="15" t="str">
        <f aca="false">IF($I43="","",IF(INDEX(Assessment!$D:$D,$I43)="","",INDEX(Assessment!$D:$D,$I43)))</f>
        <v/>
      </c>
      <c r="F43" s="12" t="str">
        <f aca="false">IF($I43="","",IF(INDEX(Assessment!$H:$H,$I43)="","",INDEX(Assessment!$H:$H,$I43)))</f>
        <v/>
      </c>
      <c r="G43" s="53" t="str">
        <f aca="false">IF($I43="","",IF(INDEX(Assessment!$I:$I,$I43)="","",INDEX(Assessment!$I:$I,$I43)))</f>
        <v/>
      </c>
      <c r="H43" s="54" t="str">
        <f aca="false">IF($I43="","",IF(INDEX(Assessment!$J:$J,$I43)="","",INDEX(Assessment!$J:$J,$I43)))</f>
        <v/>
      </c>
      <c r="I43" s="0" t="str">
        <f aca="false">IFERROR(MATCH(ROW()-4,Assessment!$L:$L,0),"")</f>
        <v/>
      </c>
    </row>
    <row r="44" customFormat="false" ht="45.75" hidden="false" customHeight="true" outlineLevel="0" collapsed="false">
      <c r="A44" s="51" t="str">
        <f aca="false">IF($I44="","",IF(INDEX(Assessment!$A:$A,$I44)="","",INDEX(Assessment!$A:$A,$I44)))</f>
        <v/>
      </c>
      <c r="B44" s="51" t="str">
        <f aca="false">IF($I44="","",IF(INDEX(Assessment!$B:$B,$I44)="","",INDEX(Assessment!$B:$B,$I44)))</f>
        <v/>
      </c>
      <c r="C44" s="52" t="str">
        <f aca="false">IF($I44="","",IF(INDEX(Assessment!$E:$E,$I44)="","",INDEX(Assessment!$E:$E,$I44)))</f>
        <v/>
      </c>
      <c r="D44" s="29" t="str">
        <f aca="false">IF($I44="","",IF(INDEX(Assessment!$C:$C,$I44)="","",INDEX(Assessment!$C:$C,$I44)))</f>
        <v/>
      </c>
      <c r="E44" s="15" t="str">
        <f aca="false">IF($I44="","",IF(INDEX(Assessment!$D:$D,$I44)="","",INDEX(Assessment!$D:$D,$I44)))</f>
        <v/>
      </c>
      <c r="F44" s="12" t="str">
        <f aca="false">IF($I44="","",IF(INDEX(Assessment!$H:$H,$I44)="","",INDEX(Assessment!$H:$H,$I44)))</f>
        <v/>
      </c>
      <c r="G44" s="53" t="str">
        <f aca="false">IF($I44="","",IF(INDEX(Assessment!$I:$I,$I44)="","",INDEX(Assessment!$I:$I,$I44)))</f>
        <v/>
      </c>
      <c r="H44" s="54" t="str">
        <f aca="false">IF($I44="","",IF(INDEX(Assessment!$J:$J,$I44)="","",INDEX(Assessment!$J:$J,$I44)))</f>
        <v/>
      </c>
      <c r="I44" s="0" t="str">
        <f aca="false">IFERROR(MATCH(ROW()-4,Assessment!$L:$L,0),"")</f>
        <v/>
      </c>
    </row>
    <row r="45" customFormat="false" ht="45.75" hidden="false" customHeight="true" outlineLevel="0" collapsed="false">
      <c r="A45" s="51" t="str">
        <f aca="false">IF($I45="","",IF(INDEX(Assessment!$A:$A,$I45)="","",INDEX(Assessment!$A:$A,$I45)))</f>
        <v/>
      </c>
      <c r="B45" s="51" t="str">
        <f aca="false">IF($I45="","",IF(INDEX(Assessment!$B:$B,$I45)="","",INDEX(Assessment!$B:$B,$I45)))</f>
        <v/>
      </c>
      <c r="C45" s="52" t="str">
        <f aca="false">IF($I45="","",IF(INDEX(Assessment!$E:$E,$I45)="","",INDEX(Assessment!$E:$E,$I45)))</f>
        <v/>
      </c>
      <c r="D45" s="29" t="str">
        <f aca="false">IF($I45="","",IF(INDEX(Assessment!$C:$C,$I45)="","",INDEX(Assessment!$C:$C,$I45)))</f>
        <v/>
      </c>
      <c r="E45" s="15" t="str">
        <f aca="false">IF($I45="","",IF(INDEX(Assessment!$D:$D,$I45)="","",INDEX(Assessment!$D:$D,$I45)))</f>
        <v/>
      </c>
      <c r="F45" s="12" t="str">
        <f aca="false">IF($I45="","",IF(INDEX(Assessment!$H:$H,$I45)="","",INDEX(Assessment!$H:$H,$I45)))</f>
        <v/>
      </c>
      <c r="G45" s="53" t="str">
        <f aca="false">IF($I45="","",IF(INDEX(Assessment!$I:$I,$I45)="","",INDEX(Assessment!$I:$I,$I45)))</f>
        <v/>
      </c>
      <c r="H45" s="54" t="str">
        <f aca="false">IF($I45="","",IF(INDEX(Assessment!$J:$J,$I45)="","",INDEX(Assessment!$J:$J,$I45)))</f>
        <v/>
      </c>
      <c r="I45" s="0" t="str">
        <f aca="false">IFERROR(MATCH(ROW()-4,Assessment!$L:$L,0),"")</f>
        <v/>
      </c>
    </row>
    <row r="46" customFormat="false" ht="45.75" hidden="false" customHeight="true" outlineLevel="0" collapsed="false">
      <c r="A46" s="51" t="str">
        <f aca="false">IF($I46="","",IF(INDEX(Assessment!$A:$A,$I46)="","",INDEX(Assessment!$A:$A,$I46)))</f>
        <v/>
      </c>
      <c r="B46" s="51" t="str">
        <f aca="false">IF($I46="","",IF(INDEX(Assessment!$B:$B,$I46)="","",INDEX(Assessment!$B:$B,$I46)))</f>
        <v/>
      </c>
      <c r="C46" s="52" t="str">
        <f aca="false">IF($I46="","",IF(INDEX(Assessment!$E:$E,$I46)="","",INDEX(Assessment!$E:$E,$I46)))</f>
        <v/>
      </c>
      <c r="D46" s="29" t="str">
        <f aca="false">IF($I46="","",IF(INDEX(Assessment!$C:$C,$I46)="","",INDEX(Assessment!$C:$C,$I46)))</f>
        <v/>
      </c>
      <c r="E46" s="15" t="str">
        <f aca="false">IF($I46="","",IF(INDEX(Assessment!$D:$D,$I46)="","",INDEX(Assessment!$D:$D,$I46)))</f>
        <v/>
      </c>
      <c r="F46" s="12" t="str">
        <f aca="false">IF($I46="","",IF(INDEX(Assessment!$H:$H,$I46)="","",INDEX(Assessment!$H:$H,$I46)))</f>
        <v/>
      </c>
      <c r="G46" s="53" t="str">
        <f aca="false">IF($I46="","",IF(INDEX(Assessment!$I:$I,$I46)="","",INDEX(Assessment!$I:$I,$I46)))</f>
        <v/>
      </c>
      <c r="H46" s="54" t="str">
        <f aca="false">IF($I46="","",IF(INDEX(Assessment!$J:$J,$I46)="","",INDEX(Assessment!$J:$J,$I46)))</f>
        <v/>
      </c>
      <c r="I46" s="0" t="str">
        <f aca="false">IFERROR(MATCH(ROW()-4,Assessment!$L:$L,0),"")</f>
        <v/>
      </c>
    </row>
    <row r="47" customFormat="false" ht="45.75" hidden="false" customHeight="true" outlineLevel="0" collapsed="false">
      <c r="A47" s="51" t="str">
        <f aca="false">IF($I47="","",IF(INDEX(Assessment!$A:$A,$I47)="","",INDEX(Assessment!$A:$A,$I47)))</f>
        <v/>
      </c>
      <c r="B47" s="51" t="str">
        <f aca="false">IF($I47="","",IF(INDEX(Assessment!$B:$B,$I47)="","",INDEX(Assessment!$B:$B,$I47)))</f>
        <v/>
      </c>
      <c r="C47" s="52" t="str">
        <f aca="false">IF($I47="","",IF(INDEX(Assessment!$E:$E,$I47)="","",INDEX(Assessment!$E:$E,$I47)))</f>
        <v/>
      </c>
      <c r="D47" s="29" t="str">
        <f aca="false">IF($I47="","",IF(INDEX(Assessment!$C:$C,$I47)="","",INDEX(Assessment!$C:$C,$I47)))</f>
        <v/>
      </c>
      <c r="E47" s="15" t="str">
        <f aca="false">IF($I47="","",IF(INDEX(Assessment!$D:$D,$I47)="","",INDEX(Assessment!$D:$D,$I47)))</f>
        <v/>
      </c>
      <c r="F47" s="12" t="str">
        <f aca="false">IF($I47="","",IF(INDEX(Assessment!$H:$H,$I47)="","",INDEX(Assessment!$H:$H,$I47)))</f>
        <v/>
      </c>
      <c r="G47" s="53" t="str">
        <f aca="false">IF($I47="","",IF(INDEX(Assessment!$I:$I,$I47)="","",INDEX(Assessment!$I:$I,$I47)))</f>
        <v/>
      </c>
      <c r="H47" s="54" t="str">
        <f aca="false">IF($I47="","",IF(INDEX(Assessment!$J:$J,$I47)="","",INDEX(Assessment!$J:$J,$I47)))</f>
        <v/>
      </c>
      <c r="I47" s="0" t="str">
        <f aca="false">IFERROR(MATCH(ROW()-4,Assessment!$L:$L,0),"")</f>
        <v/>
      </c>
    </row>
    <row r="48" customFormat="false" ht="45.75" hidden="false" customHeight="true" outlineLevel="0" collapsed="false">
      <c r="A48" s="51" t="str">
        <f aca="false">IF($I48="","",IF(INDEX(Assessment!$A:$A,$I48)="","",INDEX(Assessment!$A:$A,$I48)))</f>
        <v/>
      </c>
      <c r="B48" s="51" t="str">
        <f aca="false">IF($I48="","",IF(INDEX(Assessment!$B:$B,$I48)="","",INDEX(Assessment!$B:$B,$I48)))</f>
        <v/>
      </c>
      <c r="C48" s="52" t="str">
        <f aca="false">IF($I48="","",IF(INDEX(Assessment!$E:$E,$I48)="","",INDEX(Assessment!$E:$E,$I48)))</f>
        <v/>
      </c>
      <c r="D48" s="29" t="str">
        <f aca="false">IF($I48="","",IF(INDEX(Assessment!$C:$C,$I48)="","",INDEX(Assessment!$C:$C,$I48)))</f>
        <v/>
      </c>
      <c r="E48" s="15" t="str">
        <f aca="false">IF($I48="","",IF(INDEX(Assessment!$D:$D,$I48)="","",INDEX(Assessment!$D:$D,$I48)))</f>
        <v/>
      </c>
      <c r="F48" s="12" t="str">
        <f aca="false">IF($I48="","",IF(INDEX(Assessment!$H:$H,$I48)="","",INDEX(Assessment!$H:$H,$I48)))</f>
        <v/>
      </c>
      <c r="G48" s="53" t="str">
        <f aca="false">IF($I48="","",IF(INDEX(Assessment!$I:$I,$I48)="","",INDEX(Assessment!$I:$I,$I48)))</f>
        <v/>
      </c>
      <c r="H48" s="54" t="str">
        <f aca="false">IF($I48="","",IF(INDEX(Assessment!$J:$J,$I48)="","",INDEX(Assessment!$J:$J,$I48)))</f>
        <v/>
      </c>
      <c r="I48" s="0" t="str">
        <f aca="false">IFERROR(MATCH(ROW()-4,Assessment!$L:$L,0),"")</f>
        <v/>
      </c>
    </row>
    <row r="49" customFormat="false" ht="45.75" hidden="false" customHeight="true" outlineLevel="0" collapsed="false">
      <c r="A49" s="51" t="str">
        <f aca="false">IF($I49="","",IF(INDEX(Assessment!$A:$A,$I49)="","",INDEX(Assessment!$A:$A,$I49)))</f>
        <v/>
      </c>
      <c r="B49" s="51" t="str">
        <f aca="false">IF($I49="","",IF(INDEX(Assessment!$B:$B,$I49)="","",INDEX(Assessment!$B:$B,$I49)))</f>
        <v/>
      </c>
      <c r="C49" s="52" t="str">
        <f aca="false">IF($I49="","",IF(INDEX(Assessment!$E:$E,$I49)="","",INDEX(Assessment!$E:$E,$I49)))</f>
        <v/>
      </c>
      <c r="D49" s="29" t="str">
        <f aca="false">IF($I49="","",IF(INDEX(Assessment!$C:$C,$I49)="","",INDEX(Assessment!$C:$C,$I49)))</f>
        <v/>
      </c>
      <c r="E49" s="15" t="str">
        <f aca="false">IF($I49="","",IF(INDEX(Assessment!$D:$D,$I49)="","",INDEX(Assessment!$D:$D,$I49)))</f>
        <v/>
      </c>
      <c r="F49" s="12" t="str">
        <f aca="false">IF($I49="","",IF(INDEX(Assessment!$H:$H,$I49)="","",INDEX(Assessment!$H:$H,$I49)))</f>
        <v/>
      </c>
      <c r="G49" s="53" t="str">
        <f aca="false">IF($I49="","",IF(INDEX(Assessment!$I:$I,$I49)="","",INDEX(Assessment!$I:$I,$I49)))</f>
        <v/>
      </c>
      <c r="H49" s="54" t="str">
        <f aca="false">IF($I49="","",IF(INDEX(Assessment!$J:$J,$I49)="","",INDEX(Assessment!$J:$J,$I49)))</f>
        <v/>
      </c>
      <c r="I49" s="0" t="str">
        <f aca="false">IFERROR(MATCH(ROW()-4,Assessment!$L:$L,0),"")</f>
        <v/>
      </c>
    </row>
    <row r="50" customFormat="false" ht="45.75" hidden="false" customHeight="true" outlineLevel="0" collapsed="false">
      <c r="A50" s="51" t="str">
        <f aca="false">IF($I50="","",IF(INDEX(Assessment!$A:$A,$I50)="","",INDEX(Assessment!$A:$A,$I50)))</f>
        <v/>
      </c>
      <c r="B50" s="51" t="str">
        <f aca="false">IF($I50="","",IF(INDEX(Assessment!$B:$B,$I50)="","",INDEX(Assessment!$B:$B,$I50)))</f>
        <v/>
      </c>
      <c r="C50" s="52" t="str">
        <f aca="false">IF($I50="","",IF(INDEX(Assessment!$E:$E,$I50)="","",INDEX(Assessment!$E:$E,$I50)))</f>
        <v/>
      </c>
      <c r="D50" s="29" t="str">
        <f aca="false">IF($I50="","",IF(INDEX(Assessment!$C:$C,$I50)="","",INDEX(Assessment!$C:$C,$I50)))</f>
        <v/>
      </c>
      <c r="E50" s="15" t="str">
        <f aca="false">IF($I50="","",IF(INDEX(Assessment!$D:$D,$I50)="","",INDEX(Assessment!$D:$D,$I50)))</f>
        <v/>
      </c>
      <c r="F50" s="12" t="str">
        <f aca="false">IF($I50="","",IF(INDEX(Assessment!$H:$H,$I50)="","",INDEX(Assessment!$H:$H,$I50)))</f>
        <v/>
      </c>
      <c r="G50" s="53" t="str">
        <f aca="false">IF($I50="","",IF(INDEX(Assessment!$I:$I,$I50)="","",INDEX(Assessment!$I:$I,$I50)))</f>
        <v/>
      </c>
      <c r="H50" s="54" t="str">
        <f aca="false">IF($I50="","",IF(INDEX(Assessment!$J:$J,$I50)="","",INDEX(Assessment!$J:$J,$I50)))</f>
        <v/>
      </c>
      <c r="I50" s="0" t="str">
        <f aca="false">IFERROR(MATCH(ROW()-4,Assessment!$L:$L,0),"")</f>
        <v/>
      </c>
    </row>
    <row r="51" customFormat="false" ht="45.75" hidden="false" customHeight="true" outlineLevel="0" collapsed="false">
      <c r="A51" s="51" t="str">
        <f aca="false">IF($I51="","",IF(INDEX(Assessment!$A:$A,$I51)="","",INDEX(Assessment!$A:$A,$I51)))</f>
        <v/>
      </c>
      <c r="B51" s="51" t="str">
        <f aca="false">IF($I51="","",IF(INDEX(Assessment!$B:$B,$I51)="","",INDEX(Assessment!$B:$B,$I51)))</f>
        <v/>
      </c>
      <c r="C51" s="52" t="str">
        <f aca="false">IF($I51="","",IF(INDEX(Assessment!$E:$E,$I51)="","",INDEX(Assessment!$E:$E,$I51)))</f>
        <v/>
      </c>
      <c r="D51" s="29" t="str">
        <f aca="false">IF($I51="","",IF(INDEX(Assessment!$C:$C,$I51)="","",INDEX(Assessment!$C:$C,$I51)))</f>
        <v/>
      </c>
      <c r="E51" s="15" t="str">
        <f aca="false">IF($I51="","",IF(INDEX(Assessment!$D:$D,$I51)="","",INDEX(Assessment!$D:$D,$I51)))</f>
        <v/>
      </c>
      <c r="F51" s="12" t="str">
        <f aca="false">IF($I51="","",IF(INDEX(Assessment!$H:$H,$I51)="","",INDEX(Assessment!$H:$H,$I51)))</f>
        <v/>
      </c>
      <c r="G51" s="53" t="str">
        <f aca="false">IF($I51="","",IF(INDEX(Assessment!$I:$I,$I51)="","",INDEX(Assessment!$I:$I,$I51)))</f>
        <v/>
      </c>
      <c r="H51" s="54" t="str">
        <f aca="false">IF($I51="","",IF(INDEX(Assessment!$J:$J,$I51)="","",INDEX(Assessment!$J:$J,$I51)))</f>
        <v/>
      </c>
      <c r="I51" s="0" t="str">
        <f aca="false">IFERROR(MATCH(ROW()-4,Assessment!$L:$L,0),"")</f>
        <v/>
      </c>
    </row>
    <row r="52" customFormat="false" ht="45.75" hidden="false" customHeight="true" outlineLevel="0" collapsed="false">
      <c r="A52" s="51" t="str">
        <f aca="false">IF($I52="","",IF(INDEX(Assessment!$A:$A,$I52)="","",INDEX(Assessment!$A:$A,$I52)))</f>
        <v/>
      </c>
      <c r="B52" s="51" t="str">
        <f aca="false">IF($I52="","",IF(INDEX(Assessment!$B:$B,$I52)="","",INDEX(Assessment!$B:$B,$I52)))</f>
        <v/>
      </c>
      <c r="C52" s="52" t="str">
        <f aca="false">IF($I52="","",IF(INDEX(Assessment!$E:$E,$I52)="","",INDEX(Assessment!$E:$E,$I52)))</f>
        <v/>
      </c>
      <c r="D52" s="29" t="str">
        <f aca="false">IF($I52="","",IF(INDEX(Assessment!$C:$C,$I52)="","",INDEX(Assessment!$C:$C,$I52)))</f>
        <v/>
      </c>
      <c r="E52" s="15" t="str">
        <f aca="false">IF($I52="","",IF(INDEX(Assessment!$D:$D,$I52)="","",INDEX(Assessment!$D:$D,$I52)))</f>
        <v/>
      </c>
      <c r="F52" s="12" t="str">
        <f aca="false">IF($I52="","",IF(INDEX(Assessment!$H:$H,$I52)="","",INDEX(Assessment!$H:$H,$I52)))</f>
        <v/>
      </c>
      <c r="G52" s="53" t="str">
        <f aca="false">IF($I52="","",IF(INDEX(Assessment!$I:$I,$I52)="","",INDEX(Assessment!$I:$I,$I52)))</f>
        <v/>
      </c>
      <c r="H52" s="54" t="str">
        <f aca="false">IF($I52="","",IF(INDEX(Assessment!$J:$J,$I52)="","",INDEX(Assessment!$J:$J,$I52)))</f>
        <v/>
      </c>
      <c r="I52" s="0" t="str">
        <f aca="false">IFERROR(MATCH(ROW()-4,Assessment!$L:$L,0),"")</f>
        <v/>
      </c>
    </row>
    <row r="53" customFormat="false" ht="45.75" hidden="false" customHeight="true" outlineLevel="0" collapsed="false">
      <c r="A53" s="51" t="str">
        <f aca="false">IF($I53="","",IF(INDEX(Assessment!$A:$A,$I53)="","",INDEX(Assessment!$A:$A,$I53)))</f>
        <v/>
      </c>
      <c r="B53" s="51" t="str">
        <f aca="false">IF($I53="","",IF(INDEX(Assessment!$B:$B,$I53)="","",INDEX(Assessment!$B:$B,$I53)))</f>
        <v/>
      </c>
      <c r="C53" s="52" t="str">
        <f aca="false">IF($I53="","",IF(INDEX(Assessment!$E:$E,$I53)="","",INDEX(Assessment!$E:$E,$I53)))</f>
        <v/>
      </c>
      <c r="D53" s="29" t="str">
        <f aca="false">IF($I53="","",IF(INDEX(Assessment!$C:$C,$I53)="","",INDEX(Assessment!$C:$C,$I53)))</f>
        <v/>
      </c>
      <c r="E53" s="15" t="str">
        <f aca="false">IF($I53="","",IF(INDEX(Assessment!$D:$D,$I53)="","",INDEX(Assessment!$D:$D,$I53)))</f>
        <v/>
      </c>
      <c r="F53" s="12" t="str">
        <f aca="false">IF($I53="","",IF(INDEX(Assessment!$H:$H,$I53)="","",INDEX(Assessment!$H:$H,$I53)))</f>
        <v/>
      </c>
      <c r="G53" s="53" t="str">
        <f aca="false">IF($I53="","",IF(INDEX(Assessment!$I:$I,$I53)="","",INDEX(Assessment!$I:$I,$I53)))</f>
        <v/>
      </c>
      <c r="H53" s="54" t="str">
        <f aca="false">IF($I53="","",IF(INDEX(Assessment!$J:$J,$I53)="","",INDEX(Assessment!$J:$J,$I53)))</f>
        <v/>
      </c>
      <c r="I53" s="0" t="str">
        <f aca="false">IFERROR(MATCH(ROW()-4,Assessment!$L:$L,0),"")</f>
        <v/>
      </c>
    </row>
    <row r="54" customFormat="false" ht="45.75" hidden="false" customHeight="true" outlineLevel="0" collapsed="false">
      <c r="A54" s="51" t="str">
        <f aca="false">IF($I54="","",IF(INDEX(Assessment!$A:$A,$I54)="","",INDEX(Assessment!$A:$A,$I54)))</f>
        <v/>
      </c>
      <c r="B54" s="51" t="str">
        <f aca="false">IF($I54="","",IF(INDEX(Assessment!$B:$B,$I54)="","",INDEX(Assessment!$B:$B,$I54)))</f>
        <v/>
      </c>
      <c r="C54" s="52" t="str">
        <f aca="false">IF($I54="","",IF(INDEX(Assessment!$E:$E,$I54)="","",INDEX(Assessment!$E:$E,$I54)))</f>
        <v/>
      </c>
      <c r="D54" s="29" t="str">
        <f aca="false">IF($I54="","",IF(INDEX(Assessment!$C:$C,$I54)="","",INDEX(Assessment!$C:$C,$I54)))</f>
        <v/>
      </c>
      <c r="E54" s="15" t="str">
        <f aca="false">IF($I54="","",IF(INDEX(Assessment!$D:$D,$I54)="","",INDEX(Assessment!$D:$D,$I54)))</f>
        <v/>
      </c>
      <c r="F54" s="12" t="str">
        <f aca="false">IF($I54="","",IF(INDEX(Assessment!$H:$H,$I54)="","",INDEX(Assessment!$H:$H,$I54)))</f>
        <v/>
      </c>
      <c r="G54" s="53" t="str">
        <f aca="false">IF($I54="","",IF(INDEX(Assessment!$I:$I,$I54)="","",INDEX(Assessment!$I:$I,$I54)))</f>
        <v/>
      </c>
      <c r="H54" s="54" t="str">
        <f aca="false">IF($I54="","",IF(INDEX(Assessment!$J:$J,$I54)="","",INDEX(Assessment!$J:$J,$I54)))</f>
        <v/>
      </c>
      <c r="I54" s="0" t="str">
        <f aca="false">IFERROR(MATCH(ROW()-4,Assessment!$L:$L,0),"")</f>
        <v/>
      </c>
    </row>
    <row r="55" customFormat="false" ht="45.75" hidden="false" customHeight="true" outlineLevel="0" collapsed="false">
      <c r="A55" s="51" t="str">
        <f aca="false">IF($I55="","",IF(INDEX(Assessment!$A:$A,$I55)="","",INDEX(Assessment!$A:$A,$I55)))</f>
        <v/>
      </c>
      <c r="B55" s="51" t="str">
        <f aca="false">IF($I55="","",IF(INDEX(Assessment!$B:$B,$I55)="","",INDEX(Assessment!$B:$B,$I55)))</f>
        <v/>
      </c>
      <c r="C55" s="52" t="str">
        <f aca="false">IF($I55="","",IF(INDEX(Assessment!$E:$E,$I55)="","",INDEX(Assessment!$E:$E,$I55)))</f>
        <v/>
      </c>
      <c r="D55" s="29" t="str">
        <f aca="false">IF($I55="","",IF(INDEX(Assessment!$C:$C,$I55)="","",INDEX(Assessment!$C:$C,$I55)))</f>
        <v/>
      </c>
      <c r="E55" s="15" t="str">
        <f aca="false">IF($I55="","",IF(INDEX(Assessment!$D:$D,$I55)="","",INDEX(Assessment!$D:$D,$I55)))</f>
        <v/>
      </c>
      <c r="F55" s="12" t="str">
        <f aca="false">IF($I55="","",IF(INDEX(Assessment!$H:$H,$I55)="","",INDEX(Assessment!$H:$H,$I55)))</f>
        <v/>
      </c>
      <c r="G55" s="53" t="str">
        <f aca="false">IF($I55="","",IF(INDEX(Assessment!$I:$I,$I55)="","",INDEX(Assessment!$I:$I,$I55)))</f>
        <v/>
      </c>
      <c r="H55" s="54" t="str">
        <f aca="false">IF($I55="","",IF(INDEX(Assessment!$J:$J,$I55)="","",INDEX(Assessment!$J:$J,$I55)))</f>
        <v/>
      </c>
      <c r="I55" s="0" t="str">
        <f aca="false">IFERROR(MATCH(ROW()-4,Assessment!$L:$L,0),"")</f>
        <v/>
      </c>
    </row>
    <row r="56" customFormat="false" ht="45.75" hidden="false" customHeight="true" outlineLevel="0" collapsed="false">
      <c r="A56" s="51" t="str">
        <f aca="false">IF($I56="","",IF(INDEX(Assessment!$A:$A,$I56)="","",INDEX(Assessment!$A:$A,$I56)))</f>
        <v/>
      </c>
      <c r="B56" s="51" t="str">
        <f aca="false">IF($I56="","",IF(INDEX(Assessment!$B:$B,$I56)="","",INDEX(Assessment!$B:$B,$I56)))</f>
        <v/>
      </c>
      <c r="C56" s="52" t="str">
        <f aca="false">IF($I56="","",IF(INDEX(Assessment!$E:$E,$I56)="","",INDEX(Assessment!$E:$E,$I56)))</f>
        <v/>
      </c>
      <c r="D56" s="29" t="str">
        <f aca="false">IF($I56="","",IF(INDEX(Assessment!$C:$C,$I56)="","",INDEX(Assessment!$C:$C,$I56)))</f>
        <v/>
      </c>
      <c r="E56" s="15" t="str">
        <f aca="false">IF($I56="","",IF(INDEX(Assessment!$D:$D,$I56)="","",INDEX(Assessment!$D:$D,$I56)))</f>
        <v/>
      </c>
      <c r="F56" s="12" t="str">
        <f aca="false">IF($I56="","",IF(INDEX(Assessment!$H:$H,$I56)="","",INDEX(Assessment!$H:$H,$I56)))</f>
        <v/>
      </c>
      <c r="G56" s="53" t="str">
        <f aca="false">IF($I56="","",IF(INDEX(Assessment!$I:$I,$I56)="","",INDEX(Assessment!$I:$I,$I56)))</f>
        <v/>
      </c>
      <c r="H56" s="54" t="str">
        <f aca="false">IF($I56="","",IF(INDEX(Assessment!$J:$J,$I56)="","",INDEX(Assessment!$J:$J,$I56)))</f>
        <v/>
      </c>
      <c r="I56" s="0" t="str">
        <f aca="false">IFERROR(MATCH(ROW()-4,Assessment!$L:$L,0),"")</f>
        <v/>
      </c>
    </row>
    <row r="57" customFormat="false" ht="45.75" hidden="false" customHeight="true" outlineLevel="0" collapsed="false">
      <c r="A57" s="51" t="str">
        <f aca="false">IF($I57="","",IF(INDEX(Assessment!$A:$A,$I57)="","",INDEX(Assessment!$A:$A,$I57)))</f>
        <v/>
      </c>
      <c r="B57" s="51" t="str">
        <f aca="false">IF($I57="","",IF(INDEX(Assessment!$B:$B,$I57)="","",INDEX(Assessment!$B:$B,$I57)))</f>
        <v/>
      </c>
      <c r="C57" s="52" t="str">
        <f aca="false">IF($I57="","",IF(INDEX(Assessment!$E:$E,$I57)="","",INDEX(Assessment!$E:$E,$I57)))</f>
        <v/>
      </c>
      <c r="D57" s="29" t="str">
        <f aca="false">IF($I57="","",IF(INDEX(Assessment!$C:$C,$I57)="","",INDEX(Assessment!$C:$C,$I57)))</f>
        <v/>
      </c>
      <c r="E57" s="15" t="str">
        <f aca="false">IF($I57="","",IF(INDEX(Assessment!$D:$D,$I57)="","",INDEX(Assessment!$D:$D,$I57)))</f>
        <v/>
      </c>
      <c r="F57" s="12" t="str">
        <f aca="false">IF($I57="","",IF(INDEX(Assessment!$H:$H,$I57)="","",INDEX(Assessment!$H:$H,$I57)))</f>
        <v/>
      </c>
      <c r="G57" s="53" t="str">
        <f aca="false">IF($I57="","",IF(INDEX(Assessment!$I:$I,$I57)="","",INDEX(Assessment!$I:$I,$I57)))</f>
        <v/>
      </c>
      <c r="H57" s="54" t="str">
        <f aca="false">IF($I57="","",IF(INDEX(Assessment!$J:$J,$I57)="","",INDEX(Assessment!$J:$J,$I57)))</f>
        <v/>
      </c>
      <c r="I57" s="0" t="str">
        <f aca="false">IFERROR(MATCH(ROW()-4,Assessment!$L:$L,0),"")</f>
        <v/>
      </c>
    </row>
    <row r="58" customFormat="false" ht="45.75" hidden="false" customHeight="true" outlineLevel="0" collapsed="false">
      <c r="A58" s="51" t="str">
        <f aca="false">IF($I58="","",IF(INDEX(Assessment!$A:$A,$I58)="","",INDEX(Assessment!$A:$A,$I58)))</f>
        <v/>
      </c>
      <c r="B58" s="51" t="str">
        <f aca="false">IF($I58="","",IF(INDEX(Assessment!$B:$B,$I58)="","",INDEX(Assessment!$B:$B,$I58)))</f>
        <v/>
      </c>
      <c r="C58" s="52" t="str">
        <f aca="false">IF($I58="","",IF(INDEX(Assessment!$E:$E,$I58)="","",INDEX(Assessment!$E:$E,$I58)))</f>
        <v/>
      </c>
      <c r="D58" s="29" t="str">
        <f aca="false">IF($I58="","",IF(INDEX(Assessment!$C:$C,$I58)="","",INDEX(Assessment!$C:$C,$I58)))</f>
        <v/>
      </c>
      <c r="E58" s="15" t="str">
        <f aca="false">IF($I58="","",IF(INDEX(Assessment!$D:$D,$I58)="","",INDEX(Assessment!$D:$D,$I58)))</f>
        <v/>
      </c>
      <c r="F58" s="12" t="str">
        <f aca="false">IF($I58="","",IF(INDEX(Assessment!$H:$H,$I58)="","",INDEX(Assessment!$H:$H,$I58)))</f>
        <v/>
      </c>
      <c r="G58" s="53" t="str">
        <f aca="false">IF($I58="","",IF(INDEX(Assessment!$I:$I,$I58)="","",INDEX(Assessment!$I:$I,$I58)))</f>
        <v/>
      </c>
      <c r="H58" s="54" t="str">
        <f aca="false">IF($I58="","",IF(INDEX(Assessment!$J:$J,$I58)="","",INDEX(Assessment!$J:$J,$I58)))</f>
        <v/>
      </c>
      <c r="I58" s="0" t="str">
        <f aca="false">IFERROR(MATCH(ROW()-4,Assessment!$L:$L,0),"")</f>
        <v/>
      </c>
    </row>
    <row r="59" customFormat="false" ht="45.75" hidden="false" customHeight="true" outlineLevel="0" collapsed="false">
      <c r="A59" s="51" t="str">
        <f aca="false">IF($I59="","",IF(INDEX(Assessment!$A:$A,$I59)="","",INDEX(Assessment!$A:$A,$I59)))</f>
        <v/>
      </c>
      <c r="B59" s="51" t="str">
        <f aca="false">IF($I59="","",IF(INDEX(Assessment!$B:$B,$I59)="","",INDEX(Assessment!$B:$B,$I59)))</f>
        <v/>
      </c>
      <c r="C59" s="52" t="str">
        <f aca="false">IF($I59="","",IF(INDEX(Assessment!$E:$E,$I59)="","",INDEX(Assessment!$E:$E,$I59)))</f>
        <v/>
      </c>
      <c r="D59" s="29" t="str">
        <f aca="false">IF($I59="","",IF(INDEX(Assessment!$C:$C,$I59)="","",INDEX(Assessment!$C:$C,$I59)))</f>
        <v/>
      </c>
      <c r="E59" s="15" t="str">
        <f aca="false">IF($I59="","",IF(INDEX(Assessment!$D:$D,$I59)="","",INDEX(Assessment!$D:$D,$I59)))</f>
        <v/>
      </c>
      <c r="F59" s="12" t="str">
        <f aca="false">IF($I59="","",IF(INDEX(Assessment!$H:$H,$I59)="","",INDEX(Assessment!$H:$H,$I59)))</f>
        <v/>
      </c>
      <c r="G59" s="53" t="str">
        <f aca="false">IF($I59="","",IF(INDEX(Assessment!$I:$I,$I59)="","",INDEX(Assessment!$I:$I,$I59)))</f>
        <v/>
      </c>
      <c r="H59" s="54" t="str">
        <f aca="false">IF($I59="","",IF(INDEX(Assessment!$J:$J,$I59)="","",INDEX(Assessment!$J:$J,$I59)))</f>
        <v/>
      </c>
      <c r="I59" s="0" t="str">
        <f aca="false">IFERROR(MATCH(ROW()-4,Assessment!$L:$L,0),"")</f>
        <v/>
      </c>
    </row>
    <row r="60" customFormat="false" ht="45.75" hidden="false" customHeight="true" outlineLevel="0" collapsed="false">
      <c r="A60" s="51" t="str">
        <f aca="false">IF($I60="","",IF(INDEX(Assessment!$A:$A,$I60)="","",INDEX(Assessment!$A:$A,$I60)))</f>
        <v/>
      </c>
      <c r="B60" s="51" t="str">
        <f aca="false">IF($I60="","",IF(INDEX(Assessment!$B:$B,$I60)="","",INDEX(Assessment!$B:$B,$I60)))</f>
        <v/>
      </c>
      <c r="C60" s="52" t="str">
        <f aca="false">IF($I60="","",IF(INDEX(Assessment!$E:$E,$I60)="","",INDEX(Assessment!$E:$E,$I60)))</f>
        <v/>
      </c>
      <c r="D60" s="29" t="str">
        <f aca="false">IF($I60="","",IF(INDEX(Assessment!$C:$C,$I60)="","",INDEX(Assessment!$C:$C,$I60)))</f>
        <v/>
      </c>
      <c r="E60" s="15" t="str">
        <f aca="false">IF($I60="","",IF(INDEX(Assessment!$D:$D,$I60)="","",INDEX(Assessment!$D:$D,$I60)))</f>
        <v/>
      </c>
      <c r="F60" s="12" t="str">
        <f aca="false">IF($I60="","",IF(INDEX(Assessment!$H:$H,$I60)="","",INDEX(Assessment!$H:$H,$I60)))</f>
        <v/>
      </c>
      <c r="G60" s="53" t="str">
        <f aca="false">IF($I60="","",IF(INDEX(Assessment!$I:$I,$I60)="","",INDEX(Assessment!$I:$I,$I60)))</f>
        <v/>
      </c>
      <c r="H60" s="54" t="str">
        <f aca="false">IF($I60="","",IF(INDEX(Assessment!$J:$J,$I60)="","",INDEX(Assessment!$J:$J,$I60)))</f>
        <v/>
      </c>
      <c r="I60" s="0" t="str">
        <f aca="false">IFERROR(MATCH(ROW()-4,Assessment!$L:$L,0),"")</f>
        <v/>
      </c>
    </row>
    <row r="61" customFormat="false" ht="45.75" hidden="false" customHeight="true" outlineLevel="0" collapsed="false">
      <c r="A61" s="51" t="str">
        <f aca="false">IF($I61="","",IF(INDEX(Assessment!$A:$A,$I61)="","",INDEX(Assessment!$A:$A,$I61)))</f>
        <v/>
      </c>
      <c r="B61" s="51" t="str">
        <f aca="false">IF($I61="","",IF(INDEX(Assessment!$B:$B,$I61)="","",INDEX(Assessment!$B:$B,$I61)))</f>
        <v/>
      </c>
      <c r="C61" s="52" t="str">
        <f aca="false">IF($I61="","",IF(INDEX(Assessment!$E:$E,$I61)="","",INDEX(Assessment!$E:$E,$I61)))</f>
        <v/>
      </c>
      <c r="D61" s="29" t="str">
        <f aca="false">IF($I61="","",IF(INDEX(Assessment!$C:$C,$I61)="","",INDEX(Assessment!$C:$C,$I61)))</f>
        <v/>
      </c>
      <c r="E61" s="15" t="str">
        <f aca="false">IF($I61="","",IF(INDEX(Assessment!$D:$D,$I61)="","",INDEX(Assessment!$D:$D,$I61)))</f>
        <v/>
      </c>
      <c r="F61" s="12" t="str">
        <f aca="false">IF($I61="","",IF(INDEX(Assessment!$H:$H,$I61)="","",INDEX(Assessment!$H:$H,$I61)))</f>
        <v/>
      </c>
      <c r="G61" s="53" t="str">
        <f aca="false">IF($I61="","",IF(INDEX(Assessment!$I:$I,$I61)="","",INDEX(Assessment!$I:$I,$I61)))</f>
        <v/>
      </c>
      <c r="H61" s="54" t="str">
        <f aca="false">IF($I61="","",IF(INDEX(Assessment!$J:$J,$I61)="","",INDEX(Assessment!$J:$J,$I61)))</f>
        <v/>
      </c>
      <c r="I61" s="0" t="str">
        <f aca="false">IFERROR(MATCH(ROW()-4,Assessment!$L:$L,0),"")</f>
        <v/>
      </c>
    </row>
    <row r="62" customFormat="false" ht="45.75" hidden="false" customHeight="true" outlineLevel="0" collapsed="false">
      <c r="A62" s="51" t="str">
        <f aca="false">IF($I62="","",IF(INDEX(Assessment!$A:$A,$I62)="","",INDEX(Assessment!$A:$A,$I62)))</f>
        <v/>
      </c>
      <c r="B62" s="51" t="str">
        <f aca="false">IF($I62="","",IF(INDEX(Assessment!$B:$B,$I62)="","",INDEX(Assessment!$B:$B,$I62)))</f>
        <v/>
      </c>
      <c r="C62" s="52" t="str">
        <f aca="false">IF($I62="","",IF(INDEX(Assessment!$E:$E,$I62)="","",INDEX(Assessment!$E:$E,$I62)))</f>
        <v/>
      </c>
      <c r="D62" s="29" t="str">
        <f aca="false">IF($I62="","",IF(INDEX(Assessment!$C:$C,$I62)="","",INDEX(Assessment!$C:$C,$I62)))</f>
        <v/>
      </c>
      <c r="E62" s="15" t="str">
        <f aca="false">IF($I62="","",IF(INDEX(Assessment!$D:$D,$I62)="","",INDEX(Assessment!$D:$D,$I62)))</f>
        <v/>
      </c>
      <c r="F62" s="12" t="str">
        <f aca="false">IF($I62="","",IF(INDEX(Assessment!$H:$H,$I62)="","",INDEX(Assessment!$H:$H,$I62)))</f>
        <v/>
      </c>
      <c r="G62" s="53" t="str">
        <f aca="false">IF($I62="","",IF(INDEX(Assessment!$I:$I,$I62)="","",INDEX(Assessment!$I:$I,$I62)))</f>
        <v/>
      </c>
      <c r="H62" s="54" t="str">
        <f aca="false">IF($I62="","",IF(INDEX(Assessment!$J:$J,$I62)="","",INDEX(Assessment!$J:$J,$I62)))</f>
        <v/>
      </c>
      <c r="I62" s="0" t="str">
        <f aca="false">IFERROR(MATCH(ROW()-4,Assessment!$L:$L,0),"")</f>
        <v/>
      </c>
    </row>
    <row r="63" customFormat="false" ht="45.75" hidden="false" customHeight="true" outlineLevel="0" collapsed="false">
      <c r="A63" s="51" t="str">
        <f aca="false">IF($I63="","",IF(INDEX(Assessment!$A:$A,$I63)="","",INDEX(Assessment!$A:$A,$I63)))</f>
        <v/>
      </c>
      <c r="B63" s="51" t="str">
        <f aca="false">IF($I63="","",IF(INDEX(Assessment!$B:$B,$I63)="","",INDEX(Assessment!$B:$B,$I63)))</f>
        <v/>
      </c>
      <c r="C63" s="52" t="str">
        <f aca="false">IF($I63="","",IF(INDEX(Assessment!$E:$E,$I63)="","",INDEX(Assessment!$E:$E,$I63)))</f>
        <v/>
      </c>
      <c r="D63" s="29" t="str">
        <f aca="false">IF($I63="","",IF(INDEX(Assessment!$C:$C,$I63)="","",INDEX(Assessment!$C:$C,$I63)))</f>
        <v/>
      </c>
      <c r="E63" s="15" t="str">
        <f aca="false">IF($I63="","",IF(INDEX(Assessment!$D:$D,$I63)="","",INDEX(Assessment!$D:$D,$I63)))</f>
        <v/>
      </c>
      <c r="F63" s="12" t="str">
        <f aca="false">IF($I63="","",IF(INDEX(Assessment!$H:$H,$I63)="","",INDEX(Assessment!$H:$H,$I63)))</f>
        <v/>
      </c>
      <c r="G63" s="53" t="str">
        <f aca="false">IF($I63="","",IF(INDEX(Assessment!$I:$I,$I63)="","",INDEX(Assessment!$I:$I,$I63)))</f>
        <v/>
      </c>
      <c r="H63" s="54" t="str">
        <f aca="false">IF($I63="","",IF(INDEX(Assessment!$J:$J,$I63)="","",INDEX(Assessment!$J:$J,$I63)))</f>
        <v/>
      </c>
      <c r="I63" s="0" t="str">
        <f aca="false">IFERROR(MATCH(ROW()-4,Assessment!$L:$L,0),"")</f>
        <v/>
      </c>
    </row>
    <row r="64" customFormat="false" ht="45.75" hidden="false" customHeight="true" outlineLevel="0" collapsed="false">
      <c r="A64" s="51" t="str">
        <f aca="false">IF($I64="","",IF(INDEX(Assessment!$A:$A,$I64)="","",INDEX(Assessment!$A:$A,$I64)))</f>
        <v/>
      </c>
      <c r="B64" s="51" t="str">
        <f aca="false">IF($I64="","",IF(INDEX(Assessment!$B:$B,$I64)="","",INDEX(Assessment!$B:$B,$I64)))</f>
        <v/>
      </c>
      <c r="C64" s="52" t="str">
        <f aca="false">IF($I64="","",IF(INDEX(Assessment!$E:$E,$I64)="","",INDEX(Assessment!$E:$E,$I64)))</f>
        <v/>
      </c>
      <c r="D64" s="29" t="str">
        <f aca="false">IF($I64="","",IF(INDEX(Assessment!$C:$C,$I64)="","",INDEX(Assessment!$C:$C,$I64)))</f>
        <v/>
      </c>
      <c r="E64" s="15" t="str">
        <f aca="false">IF($I64="","",IF(INDEX(Assessment!$D:$D,$I64)="","",INDEX(Assessment!$D:$D,$I64)))</f>
        <v/>
      </c>
      <c r="F64" s="12" t="str">
        <f aca="false">IF($I64="","",IF(INDEX(Assessment!$H:$H,$I64)="","",INDEX(Assessment!$H:$H,$I64)))</f>
        <v/>
      </c>
      <c r="G64" s="53" t="str">
        <f aca="false">IF($I64="","",IF(INDEX(Assessment!$I:$I,$I64)="","",INDEX(Assessment!$I:$I,$I64)))</f>
        <v/>
      </c>
      <c r="H64" s="54" t="str">
        <f aca="false">IF($I64="","",IF(INDEX(Assessment!$J:$J,$I64)="","",INDEX(Assessment!$J:$J,$I64)))</f>
        <v/>
      </c>
      <c r="I64" s="0" t="str">
        <f aca="false">IFERROR(MATCH(ROW()-4,Assessment!$L:$L,0),"")</f>
        <v/>
      </c>
    </row>
    <row r="65" customFormat="false" ht="45.75" hidden="false" customHeight="true" outlineLevel="0" collapsed="false">
      <c r="A65" s="51" t="str">
        <f aca="false">IF($I65="","",IF(INDEX(Assessment!$A:$A,$I65)="","",INDEX(Assessment!$A:$A,$I65)))</f>
        <v/>
      </c>
      <c r="B65" s="51" t="str">
        <f aca="false">IF($I65="","",IF(INDEX(Assessment!$B:$B,$I65)="","",INDEX(Assessment!$B:$B,$I65)))</f>
        <v/>
      </c>
      <c r="C65" s="52" t="str">
        <f aca="false">IF($I65="","",IF(INDEX(Assessment!$E:$E,$I65)="","",INDEX(Assessment!$E:$E,$I65)))</f>
        <v/>
      </c>
      <c r="D65" s="29" t="str">
        <f aca="false">IF($I65="","",IF(INDEX(Assessment!$C:$C,$I65)="","",INDEX(Assessment!$C:$C,$I65)))</f>
        <v/>
      </c>
      <c r="E65" s="15" t="str">
        <f aca="false">IF($I65="","",IF(INDEX(Assessment!$D:$D,$I65)="","",INDEX(Assessment!$D:$D,$I65)))</f>
        <v/>
      </c>
      <c r="F65" s="12" t="str">
        <f aca="false">IF($I65="","",IF(INDEX(Assessment!$H:$H,$I65)="","",INDEX(Assessment!$H:$H,$I65)))</f>
        <v/>
      </c>
      <c r="G65" s="53" t="str">
        <f aca="false">IF($I65="","",IF(INDEX(Assessment!$I:$I,$I65)="","",INDEX(Assessment!$I:$I,$I65)))</f>
        <v/>
      </c>
      <c r="H65" s="54" t="str">
        <f aca="false">IF($I65="","",IF(INDEX(Assessment!$J:$J,$I65)="","",INDEX(Assessment!$J:$J,$I65)))</f>
        <v/>
      </c>
      <c r="I65" s="0" t="str">
        <f aca="false">IFERROR(MATCH(ROW()-4,Assessment!$L:$L,0),"")</f>
        <v/>
      </c>
    </row>
    <row r="66" customFormat="false" ht="45.75" hidden="false" customHeight="true" outlineLevel="0" collapsed="false">
      <c r="A66" s="51" t="str">
        <f aca="false">IF($I66="","",IF(INDEX(Assessment!$A:$A,$I66)="","",INDEX(Assessment!$A:$A,$I66)))</f>
        <v/>
      </c>
      <c r="B66" s="51" t="str">
        <f aca="false">IF($I66="","",IF(INDEX(Assessment!$B:$B,$I66)="","",INDEX(Assessment!$B:$B,$I66)))</f>
        <v/>
      </c>
      <c r="C66" s="52" t="str">
        <f aca="false">IF($I66="","",IF(INDEX(Assessment!$E:$E,$I66)="","",INDEX(Assessment!$E:$E,$I66)))</f>
        <v/>
      </c>
      <c r="D66" s="29" t="str">
        <f aca="false">IF($I66="","",IF(INDEX(Assessment!$C:$C,$I66)="","",INDEX(Assessment!$C:$C,$I66)))</f>
        <v/>
      </c>
      <c r="E66" s="15" t="str">
        <f aca="false">IF($I66="","",IF(INDEX(Assessment!$D:$D,$I66)="","",INDEX(Assessment!$D:$D,$I66)))</f>
        <v/>
      </c>
      <c r="F66" s="12" t="str">
        <f aca="false">IF($I66="","",IF(INDEX(Assessment!$H:$H,$I66)="","",INDEX(Assessment!$H:$H,$I66)))</f>
        <v/>
      </c>
      <c r="G66" s="53" t="str">
        <f aca="false">IF($I66="","",IF(INDEX(Assessment!$I:$I,$I66)="","",INDEX(Assessment!$I:$I,$I66)))</f>
        <v/>
      </c>
      <c r="H66" s="54" t="str">
        <f aca="false">IF($I66="","",IF(INDEX(Assessment!$J:$J,$I66)="","",INDEX(Assessment!$J:$J,$I66)))</f>
        <v/>
      </c>
      <c r="I66" s="0" t="str">
        <f aca="false">IFERROR(MATCH(ROW()-4,Assessment!$L:$L,0),"")</f>
        <v/>
      </c>
    </row>
  </sheetData>
  <sheetProtection sheet="true" formatCells="false"/>
  <mergeCells count="2">
    <mergeCell ref="A1:H1"/>
    <mergeCell ref="A2:H2"/>
  </mergeCells>
  <conditionalFormatting sqref="C5:C66">
    <cfRule type="cellIs" priority="2" operator="equal" aboveAverage="0" equalAverage="0" bottom="0" percent="0" rank="0" text="" dxfId="2">
      <formula>"Not in place"</formula>
    </cfRule>
    <cfRule type="cellIs" priority="3" operator="equal" aboveAverage="0" equalAverage="0" bottom="0" percent="0" rank="0" text="" dxfId="1">
      <formula>"Partially in place"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3" min="3" style="0" width="40"/>
    <col collapsed="false" customWidth="true" hidden="false" outlineLevel="0" max="4" min="4" style="0" width="70"/>
    <col collapsed="false" customWidth="true" hidden="false" outlineLevel="0" max="5" min="5" style="0" width="3"/>
  </cols>
  <sheetData>
    <row r="1" customFormat="false" ht="30" hidden="false" customHeight="true" outlineLevel="0" collapsed="false">
      <c r="A1" s="1" t="s">
        <v>310</v>
      </c>
      <c r="B1" s="1"/>
      <c r="C1" s="1"/>
      <c r="D1" s="1"/>
      <c r="E1" s="1"/>
    </row>
    <row r="3" customFormat="false" ht="15" hidden="false" customHeight="false" outlineLevel="0" collapsed="false">
      <c r="B3" s="3" t="s">
        <v>311</v>
      </c>
      <c r="C3" s="3"/>
      <c r="D3" s="3"/>
    </row>
    <row r="4" customFormat="false" ht="16.15" hidden="false" customHeight="false" outlineLevel="0" collapsed="false">
      <c r="B4" s="4" t="s">
        <v>312</v>
      </c>
      <c r="C4" s="4"/>
      <c r="D4" s="4"/>
    </row>
    <row r="5" customFormat="false" ht="15" hidden="false" customHeight="false" outlineLevel="0" collapsed="false">
      <c r="B5" s="17" t="s">
        <v>52</v>
      </c>
      <c r="C5" s="17" t="s">
        <v>53</v>
      </c>
      <c r="D5" s="17" t="s">
        <v>313</v>
      </c>
    </row>
    <row r="6" customFormat="false" ht="27.75" hidden="false" customHeight="true" outlineLevel="0" collapsed="false">
      <c r="B6" s="55" t="s">
        <v>314</v>
      </c>
      <c r="C6" s="56" t="s">
        <v>315</v>
      </c>
      <c r="D6" s="15" t="s">
        <v>316</v>
      </c>
    </row>
    <row r="7" customFormat="false" ht="27.75" hidden="false" customHeight="true" outlineLevel="0" collapsed="false">
      <c r="B7" s="55" t="s">
        <v>56</v>
      </c>
      <c r="C7" s="56" t="s">
        <v>317</v>
      </c>
      <c r="D7" s="15" t="s">
        <v>318</v>
      </c>
    </row>
    <row r="8" customFormat="false" ht="27.75" hidden="false" customHeight="true" outlineLevel="0" collapsed="false">
      <c r="B8" s="55" t="s">
        <v>319</v>
      </c>
      <c r="C8" s="56" t="s">
        <v>320</v>
      </c>
      <c r="D8" s="15" t="s">
        <v>321</v>
      </c>
    </row>
    <row r="9" customFormat="false" ht="27.75" hidden="false" customHeight="true" outlineLevel="0" collapsed="false">
      <c r="B9" s="55" t="s">
        <v>322</v>
      </c>
      <c r="C9" s="56" t="s">
        <v>323</v>
      </c>
      <c r="D9" s="15" t="s">
        <v>324</v>
      </c>
    </row>
    <row r="11" customFormat="false" ht="15" hidden="false" customHeight="false" outlineLevel="0" collapsed="false">
      <c r="B11" s="3" t="s">
        <v>280</v>
      </c>
      <c r="C11" s="3"/>
      <c r="D11" s="3"/>
    </row>
    <row r="12" customFormat="false" ht="16.15" hidden="false" customHeight="false" outlineLevel="0" collapsed="false">
      <c r="B12" s="4" t="s">
        <v>325</v>
      </c>
      <c r="C12" s="4"/>
      <c r="D12" s="4"/>
    </row>
    <row r="13" customFormat="false" ht="15" hidden="false" customHeight="false" outlineLevel="0" collapsed="false">
      <c r="B13" s="17" t="s">
        <v>326</v>
      </c>
      <c r="C13" s="17" t="s">
        <v>290</v>
      </c>
      <c r="D13" s="17" t="s">
        <v>327</v>
      </c>
    </row>
    <row r="14" customFormat="false" ht="27.75" hidden="false" customHeight="true" outlineLevel="0" collapsed="false">
      <c r="B14" s="55" t="s">
        <v>328</v>
      </c>
      <c r="C14" s="56" t="s">
        <v>329</v>
      </c>
      <c r="D14" s="15" t="s">
        <v>330</v>
      </c>
    </row>
    <row r="15" customFormat="false" ht="27.75" hidden="false" customHeight="true" outlineLevel="0" collapsed="false">
      <c r="B15" s="55" t="s">
        <v>331</v>
      </c>
      <c r="C15" s="56" t="s">
        <v>332</v>
      </c>
      <c r="D15" s="15" t="s">
        <v>333</v>
      </c>
    </row>
    <row r="16" customFormat="false" ht="27.75" hidden="false" customHeight="true" outlineLevel="0" collapsed="false">
      <c r="B16" s="55" t="s">
        <v>334</v>
      </c>
      <c r="C16" s="56" t="s">
        <v>335</v>
      </c>
      <c r="D16" s="15" t="s">
        <v>336</v>
      </c>
    </row>
    <row r="17" customFormat="false" ht="27.75" hidden="false" customHeight="true" outlineLevel="0" collapsed="false">
      <c r="B17" s="55" t="s">
        <v>337</v>
      </c>
      <c r="C17" s="56" t="s">
        <v>338</v>
      </c>
      <c r="D17" s="15" t="s">
        <v>339</v>
      </c>
    </row>
    <row r="19" customFormat="false" ht="15" hidden="false" customHeight="false" outlineLevel="0" collapsed="false">
      <c r="B19" s="3" t="s">
        <v>340</v>
      </c>
      <c r="C19" s="3"/>
      <c r="D19" s="3"/>
    </row>
    <row r="20" customFormat="false" ht="16.15" hidden="false" customHeight="false" outlineLevel="0" collapsed="false">
      <c r="B20" s="4" t="s">
        <v>341</v>
      </c>
      <c r="C20" s="4"/>
      <c r="D20" s="4"/>
    </row>
    <row r="21" customFormat="false" ht="15" hidden="false" customHeight="false" outlineLevel="0" collapsed="false">
      <c r="B21" s="17" t="s">
        <v>342</v>
      </c>
      <c r="C21" s="17" t="s">
        <v>285</v>
      </c>
      <c r="D21" s="17" t="s">
        <v>343</v>
      </c>
    </row>
    <row r="22" customFormat="false" ht="27.75" hidden="false" customHeight="true" outlineLevel="0" collapsed="false">
      <c r="B22" s="55" t="s">
        <v>344</v>
      </c>
      <c r="C22" s="56" t="s">
        <v>292</v>
      </c>
      <c r="D22" s="15" t="s">
        <v>345</v>
      </c>
    </row>
    <row r="23" customFormat="false" ht="27.75" hidden="false" customHeight="true" outlineLevel="0" collapsed="false">
      <c r="B23" s="55" t="s">
        <v>346</v>
      </c>
      <c r="C23" s="56" t="s">
        <v>293</v>
      </c>
      <c r="D23" s="15" t="s">
        <v>347</v>
      </c>
    </row>
    <row r="24" customFormat="false" ht="27.75" hidden="false" customHeight="true" outlineLevel="0" collapsed="false">
      <c r="B24" s="55" t="s">
        <v>348</v>
      </c>
      <c r="C24" s="56" t="s">
        <v>294</v>
      </c>
      <c r="D24" s="15" t="s">
        <v>349</v>
      </c>
    </row>
    <row r="25" customFormat="false" ht="27.75" hidden="false" customHeight="true" outlineLevel="0" collapsed="false">
      <c r="B25" s="55" t="s">
        <v>350</v>
      </c>
      <c r="C25" s="56" t="s">
        <v>295</v>
      </c>
      <c r="D25" s="15" t="s">
        <v>351</v>
      </c>
    </row>
    <row r="26" customFormat="false" ht="27.75" hidden="false" customHeight="true" outlineLevel="0" collapsed="false">
      <c r="B26" s="55" t="s">
        <v>20</v>
      </c>
      <c r="C26" s="57" t="s">
        <v>296</v>
      </c>
      <c r="D26" s="15" t="s">
        <v>352</v>
      </c>
    </row>
    <row r="27" customFormat="false" ht="27.75" hidden="false" customHeight="true" outlineLevel="0" collapsed="false">
      <c r="B27" s="55" t="s">
        <v>24</v>
      </c>
      <c r="C27" s="57" t="s">
        <v>297</v>
      </c>
      <c r="D27" s="15" t="s">
        <v>353</v>
      </c>
    </row>
    <row r="28" customFormat="false" ht="27.75" hidden="false" customHeight="true" outlineLevel="0" collapsed="false">
      <c r="B28" s="55" t="s">
        <v>27</v>
      </c>
      <c r="C28" s="57" t="s">
        <v>298</v>
      </c>
      <c r="D28" s="15" t="s">
        <v>354</v>
      </c>
    </row>
    <row r="29" customFormat="false" ht="27.75" hidden="false" customHeight="true" outlineLevel="0" collapsed="false">
      <c r="B29" s="55" t="s">
        <v>30</v>
      </c>
      <c r="C29" s="57" t="s">
        <v>299</v>
      </c>
      <c r="D29" s="15" t="s">
        <v>355</v>
      </c>
    </row>
    <row r="30" customFormat="false" ht="27.75" hidden="false" customHeight="true" outlineLevel="0" collapsed="false">
      <c r="B30" s="55" t="s">
        <v>356</v>
      </c>
      <c r="C30" s="56" t="s">
        <v>300</v>
      </c>
      <c r="D30" s="15" t="s">
        <v>357</v>
      </c>
    </row>
    <row r="31" customFormat="false" ht="27.75" hidden="false" customHeight="true" outlineLevel="0" collapsed="false">
      <c r="B31" s="55" t="s">
        <v>358</v>
      </c>
      <c r="C31" s="56" t="s">
        <v>301</v>
      </c>
      <c r="D31" s="15" t="s">
        <v>359</v>
      </c>
    </row>
    <row r="32" customFormat="false" ht="27.75" hidden="false" customHeight="true" outlineLevel="0" collapsed="false">
      <c r="B32" s="55" t="s">
        <v>360</v>
      </c>
      <c r="C32" s="56" t="s">
        <v>302</v>
      </c>
      <c r="D32" s="15" t="s">
        <v>361</v>
      </c>
    </row>
    <row r="33" customFormat="false" ht="27.75" hidden="false" customHeight="true" outlineLevel="0" collapsed="false">
      <c r="B33" s="55" t="s">
        <v>362</v>
      </c>
      <c r="C33" s="56" t="s">
        <v>303</v>
      </c>
      <c r="D33" s="15" t="s">
        <v>363</v>
      </c>
    </row>
    <row r="34" customFormat="false" ht="27.75" hidden="false" customHeight="true" outlineLevel="0" collapsed="false">
      <c r="B34" s="55" t="s">
        <v>33</v>
      </c>
      <c r="C34" s="57" t="s">
        <v>304</v>
      </c>
      <c r="D34" s="15" t="s">
        <v>364</v>
      </c>
    </row>
    <row r="35" customFormat="false" ht="15" hidden="false" customHeight="false" outlineLevel="0" collapsed="false">
      <c r="D35" s="58" t="s">
        <v>365</v>
      </c>
    </row>
    <row r="37" customFormat="false" ht="15" hidden="false" customHeight="true" outlineLevel="0" collapsed="false">
      <c r="B37" s="21" t="s">
        <v>366</v>
      </c>
      <c r="C37" s="21"/>
      <c r="D37" s="21"/>
    </row>
    <row r="38" customFormat="false" ht="15" hidden="false" customHeight="false" outlineLevel="0" collapsed="false">
      <c r="B38" s="21"/>
      <c r="C38" s="21"/>
      <c r="D38" s="21"/>
    </row>
    <row r="39" customFormat="false" ht="15" hidden="false" customHeight="false" outlineLevel="0" collapsed="false">
      <c r="B39" s="21"/>
      <c r="C39" s="21"/>
      <c r="D39" s="21"/>
    </row>
    <row r="40" customFormat="false" ht="15" hidden="false" customHeight="false" outlineLevel="0" collapsed="false">
      <c r="B40" s="21"/>
      <c r="C40" s="21"/>
      <c r="D40" s="21"/>
    </row>
    <row r="42" customFormat="false" ht="25.5" hidden="false" customHeight="true" outlineLevel="0" collapsed="false">
      <c r="B42" s="22" t="s">
        <v>59</v>
      </c>
      <c r="C42" s="22"/>
      <c r="D42" s="22"/>
    </row>
  </sheetData>
  <sheetProtection sheet="true"/>
  <mergeCells count="9">
    <mergeCell ref="A1:E1"/>
    <mergeCell ref="B3:D3"/>
    <mergeCell ref="B4:D4"/>
    <mergeCell ref="B11:D11"/>
    <mergeCell ref="B12:D12"/>
    <mergeCell ref="B19:D19"/>
    <mergeCell ref="B20:D20"/>
    <mergeCell ref="B37:D40"/>
    <mergeCell ref="B42:D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2026-08-01T17:24:18Z</dcterms:created>
  <dc:creator>openpyxl</dc:creator>
  <dc:description/>
  <dc:language>en-US</dc:language>
  <cp:lastModifiedBy/>
  <dcterms:modified xsi:type="dcterms:W3CDTF">2026-08-01T17:24:21Z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